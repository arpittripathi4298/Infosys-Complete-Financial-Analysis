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55141d0bd7c7e8/Desktop/Finance Analytics/"/>
    </mc:Choice>
  </mc:AlternateContent>
  <xr:revisionPtr revIDLastSave="2015" documentId="8_{516AF91F-FBEC-4432-867B-25B2131D13D0}" xr6:coauthVersionLast="47" xr6:coauthVersionMax="47" xr10:uidLastSave="{6D47A3DB-3736-4900-81FC-11BE78CA302E}"/>
  <bookViews>
    <workbookView xWindow="-98" yWindow="-98" windowWidth="21795" windowHeight="12345" tabRatio="828" activeTab="5" xr2:uid="{00000000-000D-0000-FFFF-FFFF00000000}"/>
  </bookViews>
  <sheets>
    <sheet name="Data Sheet" sheetId="6" r:id="rId1"/>
    <sheet name="Historical Financial Statement" sheetId="9" r:id="rId2"/>
    <sheet name="Ratios Analysis" sheetId="10" r:id="rId3"/>
    <sheet name="DuPont Model" sheetId="11" r:id="rId4"/>
    <sheet name="BETA Calculation" sheetId="12" r:id="rId5"/>
    <sheet name="Calculation" sheetId="8" r:id="rId6"/>
    <sheet name="DCF Model" sheetId="13" r:id="rId7"/>
    <sheet name="COMP Analysis" sheetId="14" r:id="rId8"/>
    <sheet name="Common Size Statement" sheetId="15" r:id="rId9"/>
    <sheet name="Manual Data" sheetId="7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0" l="1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Q19" i="14"/>
  <c r="Q21" i="14"/>
  <c r="H13" i="13"/>
  <c r="H12" i="13"/>
  <c r="O14" i="15"/>
  <c r="P14" i="15"/>
  <c r="Q14" i="15"/>
  <c r="R14" i="15"/>
  <c r="S14" i="15"/>
  <c r="T14" i="15"/>
  <c r="U14" i="15"/>
  <c r="V14" i="15"/>
  <c r="W14" i="15"/>
  <c r="X14" i="15"/>
  <c r="O15" i="15"/>
  <c r="P15" i="15"/>
  <c r="Q15" i="15"/>
  <c r="R15" i="15"/>
  <c r="S15" i="15"/>
  <c r="T15" i="15"/>
  <c r="U15" i="15"/>
  <c r="V15" i="15"/>
  <c r="W15" i="15"/>
  <c r="X15" i="15"/>
  <c r="P13" i="15"/>
  <c r="Q13" i="15"/>
  <c r="R13" i="15"/>
  <c r="S13" i="15"/>
  <c r="T13" i="15"/>
  <c r="U13" i="15"/>
  <c r="V13" i="15"/>
  <c r="W13" i="15"/>
  <c r="X13" i="15"/>
  <c r="O13" i="15"/>
  <c r="P12" i="15"/>
  <c r="Q12" i="15"/>
  <c r="R12" i="15"/>
  <c r="S12" i="15"/>
  <c r="T12" i="15"/>
  <c r="U12" i="15"/>
  <c r="V12" i="15"/>
  <c r="W12" i="15"/>
  <c r="X12" i="15"/>
  <c r="O12" i="15"/>
  <c r="O10" i="15"/>
  <c r="P10" i="15"/>
  <c r="Q10" i="15"/>
  <c r="R10" i="15"/>
  <c r="S10" i="15"/>
  <c r="T10" i="15"/>
  <c r="U10" i="15"/>
  <c r="V10" i="15"/>
  <c r="W10" i="15"/>
  <c r="X10" i="15"/>
  <c r="O11" i="15"/>
  <c r="P11" i="15"/>
  <c r="Q11" i="15"/>
  <c r="R11" i="15"/>
  <c r="S11" i="15"/>
  <c r="T11" i="15"/>
  <c r="U11" i="15"/>
  <c r="V11" i="15"/>
  <c r="W11" i="15"/>
  <c r="X11" i="15"/>
  <c r="P9" i="15"/>
  <c r="Q9" i="15"/>
  <c r="R9" i="15"/>
  <c r="S9" i="15"/>
  <c r="T9" i="15"/>
  <c r="U9" i="15"/>
  <c r="V9" i="15"/>
  <c r="W9" i="15"/>
  <c r="X9" i="15"/>
  <c r="O9" i="15"/>
  <c r="P16" i="15"/>
  <c r="Q16" i="15"/>
  <c r="R16" i="15"/>
  <c r="S16" i="15"/>
  <c r="T16" i="15"/>
  <c r="U16" i="15"/>
  <c r="V16" i="15"/>
  <c r="W16" i="15"/>
  <c r="X16" i="15"/>
  <c r="O16" i="15"/>
  <c r="N16" i="15"/>
  <c r="N7" i="15"/>
  <c r="N13" i="15"/>
  <c r="N14" i="15"/>
  <c r="N15" i="15"/>
  <c r="N12" i="15"/>
  <c r="O4" i="15"/>
  <c r="P4" i="15"/>
  <c r="Q4" i="15"/>
  <c r="R4" i="15"/>
  <c r="S4" i="15"/>
  <c r="T4" i="15"/>
  <c r="U4" i="15"/>
  <c r="V4" i="15"/>
  <c r="W4" i="15"/>
  <c r="X4" i="15"/>
  <c r="O5" i="15"/>
  <c r="P5" i="15"/>
  <c r="Q5" i="15"/>
  <c r="R5" i="15"/>
  <c r="S5" i="15"/>
  <c r="T5" i="15"/>
  <c r="U5" i="15"/>
  <c r="V5" i="15"/>
  <c r="W5" i="15"/>
  <c r="X5" i="15"/>
  <c r="O6" i="15"/>
  <c r="P6" i="15"/>
  <c r="Q6" i="15"/>
  <c r="R6" i="15"/>
  <c r="S6" i="15"/>
  <c r="T6" i="15"/>
  <c r="U6" i="15"/>
  <c r="V6" i="15"/>
  <c r="W6" i="15"/>
  <c r="X6" i="15"/>
  <c r="O7" i="15"/>
  <c r="P7" i="15"/>
  <c r="Q7" i="15"/>
  <c r="R7" i="15"/>
  <c r="S7" i="15"/>
  <c r="T7" i="15"/>
  <c r="U7" i="15"/>
  <c r="V7" i="15"/>
  <c r="W7" i="15"/>
  <c r="X7" i="15"/>
  <c r="P3" i="15"/>
  <c r="Q3" i="15"/>
  <c r="R3" i="15"/>
  <c r="S3" i="15"/>
  <c r="T3" i="15"/>
  <c r="U3" i="15"/>
  <c r="V3" i="15"/>
  <c r="W3" i="15"/>
  <c r="X3" i="15"/>
  <c r="O3" i="15"/>
  <c r="N11" i="15"/>
  <c r="N9" i="15"/>
  <c r="N10" i="15"/>
  <c r="N4" i="15"/>
  <c r="N5" i="15"/>
  <c r="N6" i="15"/>
  <c r="N3" i="15"/>
  <c r="X2" i="15"/>
  <c r="U2" i="15"/>
  <c r="V2" i="15"/>
  <c r="W2" i="15"/>
  <c r="O2" i="15"/>
  <c r="P2" i="15"/>
  <c r="Q2" i="15"/>
  <c r="R2" i="15"/>
  <c r="S2" i="15"/>
  <c r="T2" i="15"/>
  <c r="N2" i="15"/>
  <c r="D2" i="15"/>
  <c r="E2" i="15"/>
  <c r="F2" i="15"/>
  <c r="G2" i="15"/>
  <c r="H2" i="15"/>
  <c r="I2" i="15"/>
  <c r="J2" i="15"/>
  <c r="K2" i="15"/>
  <c r="L2" i="15"/>
  <c r="N1" i="15"/>
  <c r="D3" i="15"/>
  <c r="E3" i="15"/>
  <c r="F3" i="15"/>
  <c r="G3" i="15"/>
  <c r="H3" i="15"/>
  <c r="I3" i="15"/>
  <c r="J3" i="15"/>
  <c r="K3" i="15"/>
  <c r="L3" i="15"/>
  <c r="D4" i="15"/>
  <c r="E4" i="15"/>
  <c r="F4" i="15"/>
  <c r="G4" i="15"/>
  <c r="H4" i="15"/>
  <c r="I4" i="15"/>
  <c r="J4" i="15"/>
  <c r="K4" i="15"/>
  <c r="L4" i="15"/>
  <c r="D5" i="15"/>
  <c r="E5" i="15"/>
  <c r="F5" i="15"/>
  <c r="G5" i="15"/>
  <c r="H5" i="15"/>
  <c r="I5" i="15"/>
  <c r="J5" i="15"/>
  <c r="K5" i="15"/>
  <c r="L5" i="15"/>
  <c r="D6" i="15"/>
  <c r="E6" i="15"/>
  <c r="F6" i="15"/>
  <c r="G6" i="15"/>
  <c r="H6" i="15"/>
  <c r="I6" i="15"/>
  <c r="J6" i="15"/>
  <c r="K6" i="15"/>
  <c r="L6" i="15"/>
  <c r="D7" i="15"/>
  <c r="E7" i="15"/>
  <c r="F7" i="15"/>
  <c r="G7" i="15"/>
  <c r="H7" i="15"/>
  <c r="I7" i="15"/>
  <c r="J7" i="15"/>
  <c r="K7" i="15"/>
  <c r="L7" i="15"/>
  <c r="D8" i="15"/>
  <c r="E8" i="15"/>
  <c r="F8" i="15"/>
  <c r="G8" i="15"/>
  <c r="H8" i="15"/>
  <c r="I8" i="15"/>
  <c r="J8" i="15"/>
  <c r="K8" i="15"/>
  <c r="L8" i="15"/>
  <c r="D9" i="15"/>
  <c r="E9" i="15"/>
  <c r="F9" i="15"/>
  <c r="G9" i="15"/>
  <c r="H9" i="15"/>
  <c r="I9" i="15"/>
  <c r="J9" i="15"/>
  <c r="K9" i="15"/>
  <c r="L9" i="15"/>
  <c r="D10" i="15"/>
  <c r="E10" i="15"/>
  <c r="F10" i="15"/>
  <c r="G10" i="15"/>
  <c r="H10" i="15"/>
  <c r="I10" i="15"/>
  <c r="J10" i="15"/>
  <c r="K10" i="15"/>
  <c r="L10" i="15"/>
  <c r="D11" i="15"/>
  <c r="E11" i="15"/>
  <c r="F11" i="15"/>
  <c r="G11" i="15"/>
  <c r="H11" i="15"/>
  <c r="I11" i="15"/>
  <c r="J11" i="15"/>
  <c r="K11" i="15"/>
  <c r="L11" i="15"/>
  <c r="D12" i="15"/>
  <c r="E12" i="15"/>
  <c r="F12" i="15"/>
  <c r="G12" i="15"/>
  <c r="H12" i="15"/>
  <c r="I12" i="15"/>
  <c r="J12" i="15"/>
  <c r="K12" i="15"/>
  <c r="L12" i="15"/>
  <c r="D13" i="15"/>
  <c r="E13" i="15"/>
  <c r="F13" i="15"/>
  <c r="G13" i="15"/>
  <c r="H13" i="15"/>
  <c r="I13" i="15"/>
  <c r="J13" i="15"/>
  <c r="K13" i="15"/>
  <c r="L13" i="15"/>
  <c r="D14" i="15"/>
  <c r="E14" i="15"/>
  <c r="F14" i="15"/>
  <c r="G14" i="15"/>
  <c r="H14" i="15"/>
  <c r="I14" i="15"/>
  <c r="J14" i="15"/>
  <c r="K14" i="15"/>
  <c r="L14" i="15"/>
  <c r="D15" i="15"/>
  <c r="E15" i="15"/>
  <c r="F15" i="15"/>
  <c r="G15" i="15"/>
  <c r="H15" i="15"/>
  <c r="I15" i="15"/>
  <c r="J15" i="15"/>
  <c r="K15" i="15"/>
  <c r="L15" i="15"/>
  <c r="D16" i="15"/>
  <c r="E16" i="15"/>
  <c r="F16" i="15"/>
  <c r="G16" i="15"/>
  <c r="H16" i="15"/>
  <c r="I16" i="15"/>
  <c r="J16" i="15"/>
  <c r="K16" i="15"/>
  <c r="L16" i="15"/>
  <c r="D17" i="15"/>
  <c r="E17" i="15"/>
  <c r="F17" i="15"/>
  <c r="G17" i="15"/>
  <c r="H17" i="15"/>
  <c r="I17" i="15"/>
  <c r="J17" i="15"/>
  <c r="K17" i="15"/>
  <c r="L17" i="15"/>
  <c r="D18" i="15"/>
  <c r="E18" i="15"/>
  <c r="F18" i="15"/>
  <c r="G18" i="15"/>
  <c r="H18" i="15"/>
  <c r="I18" i="15"/>
  <c r="J18" i="15"/>
  <c r="K18" i="15"/>
  <c r="L18" i="15"/>
  <c r="D19" i="15"/>
  <c r="E19" i="15"/>
  <c r="F19" i="15"/>
  <c r="G19" i="15"/>
  <c r="H19" i="15"/>
  <c r="I19" i="15"/>
  <c r="J19" i="15"/>
  <c r="K19" i="15"/>
  <c r="L19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B19" i="15"/>
  <c r="B17" i="15"/>
  <c r="B18" i="15"/>
  <c r="B15" i="15"/>
  <c r="B16" i="15"/>
  <c r="B4" i="15"/>
  <c r="B5" i="15"/>
  <c r="B6" i="15"/>
  <c r="B7" i="15"/>
  <c r="B8" i="15"/>
  <c r="B9" i="15"/>
  <c r="B10" i="15"/>
  <c r="B11" i="15"/>
  <c r="B12" i="15"/>
  <c r="B13" i="15"/>
  <c r="B14" i="15"/>
  <c r="B3" i="15"/>
  <c r="B33" i="6"/>
  <c r="C33" i="6"/>
  <c r="D33" i="6"/>
  <c r="E33" i="6"/>
  <c r="F33" i="6"/>
  <c r="G33" i="6"/>
  <c r="H33" i="6"/>
  <c r="I33" i="6"/>
  <c r="J33" i="6"/>
  <c r="K33" i="6"/>
  <c r="B32" i="6"/>
  <c r="C32" i="6"/>
  <c r="D32" i="6"/>
  <c r="E32" i="6"/>
  <c r="F32" i="6"/>
  <c r="G32" i="6"/>
  <c r="H32" i="6"/>
  <c r="I32" i="6"/>
  <c r="J32" i="6"/>
  <c r="K32" i="6"/>
  <c r="A33" i="6"/>
  <c r="A32" i="6"/>
  <c r="C74" i="6"/>
  <c r="D74" i="6"/>
  <c r="E74" i="6"/>
  <c r="F74" i="6"/>
  <c r="G74" i="6"/>
  <c r="H74" i="6"/>
  <c r="I74" i="6"/>
  <c r="J74" i="6"/>
  <c r="K74" i="6"/>
  <c r="B74" i="6"/>
  <c r="B1" i="15"/>
  <c r="C2" i="15"/>
  <c r="B2" i="15"/>
  <c r="J9" i="12"/>
  <c r="G28" i="13"/>
  <c r="G26" i="13"/>
  <c r="F20" i="13"/>
  <c r="F19" i="13"/>
  <c r="F18" i="13"/>
  <c r="F17" i="13"/>
  <c r="F16" i="13"/>
  <c r="H7" i="13"/>
  <c r="H8" i="13" s="1"/>
  <c r="I7" i="13"/>
  <c r="I8" i="13" s="1"/>
  <c r="J7" i="13"/>
  <c r="J8" i="13" s="1"/>
  <c r="K7" i="13"/>
  <c r="K8" i="13" s="1"/>
  <c r="L7" i="13"/>
  <c r="L8" i="13" s="1"/>
  <c r="H6" i="13"/>
  <c r="I6" i="13"/>
  <c r="J6" i="13"/>
  <c r="K6" i="13"/>
  <c r="L6" i="13"/>
  <c r="H5" i="13"/>
  <c r="I5" i="13"/>
  <c r="J5" i="13"/>
  <c r="K5" i="13"/>
  <c r="L5" i="13"/>
  <c r="H4" i="13"/>
  <c r="H9" i="13" s="1"/>
  <c r="G16" i="13" s="1"/>
  <c r="I4" i="13"/>
  <c r="I9" i="13" s="1"/>
  <c r="G17" i="13" s="1"/>
  <c r="J4" i="13"/>
  <c r="J9" i="13" s="1"/>
  <c r="G18" i="13" s="1"/>
  <c r="K4" i="13"/>
  <c r="K9" i="13" s="1"/>
  <c r="G19" i="13" s="1"/>
  <c r="L4" i="13"/>
  <c r="L9" i="13" s="1"/>
  <c r="G7" i="13"/>
  <c r="G6" i="13"/>
  <c r="G5" i="13"/>
  <c r="G4" i="13"/>
  <c r="F2" i="13"/>
  <c r="B2" i="13"/>
  <c r="C7" i="13"/>
  <c r="C6" i="13"/>
  <c r="C5" i="13"/>
  <c r="C12" i="13"/>
  <c r="C8" i="13" s="1"/>
  <c r="C11" i="13"/>
  <c r="B1" i="13"/>
  <c r="L5" i="12"/>
  <c r="J11" i="12"/>
  <c r="L4" i="12"/>
  <c r="J8" i="12"/>
  <c r="J6" i="12"/>
  <c r="J5" i="12"/>
  <c r="J4" i="12"/>
  <c r="B1" i="12"/>
  <c r="D4" i="12"/>
  <c r="G4" i="12"/>
  <c r="D5" i="12"/>
  <c r="G5" i="12"/>
  <c r="D6" i="12"/>
  <c r="G6" i="12"/>
  <c r="D7" i="12"/>
  <c r="G7" i="12"/>
  <c r="D8" i="12"/>
  <c r="G8" i="12"/>
  <c r="D9" i="12"/>
  <c r="G9" i="12"/>
  <c r="D10" i="12"/>
  <c r="G10" i="12"/>
  <c r="D11" i="12"/>
  <c r="G11" i="12"/>
  <c r="D12" i="12"/>
  <c r="G12" i="12"/>
  <c r="D13" i="12"/>
  <c r="G13" i="12"/>
  <c r="D14" i="12"/>
  <c r="G14" i="12"/>
  <c r="D15" i="12"/>
  <c r="G15" i="12"/>
  <c r="D16" i="12"/>
  <c r="G16" i="12"/>
  <c r="D17" i="12"/>
  <c r="G17" i="12"/>
  <c r="D18" i="12"/>
  <c r="G18" i="12"/>
  <c r="D19" i="12"/>
  <c r="G19" i="12"/>
  <c r="D20" i="12"/>
  <c r="G20" i="12"/>
  <c r="D21" i="12"/>
  <c r="G21" i="12"/>
  <c r="D22" i="12"/>
  <c r="G22" i="12"/>
  <c r="D23" i="12"/>
  <c r="G23" i="12"/>
  <c r="D24" i="12"/>
  <c r="G24" i="12"/>
  <c r="D25" i="12"/>
  <c r="G25" i="12"/>
  <c r="D26" i="12"/>
  <c r="G26" i="12"/>
  <c r="D27" i="12"/>
  <c r="G27" i="12"/>
  <c r="D28" i="12"/>
  <c r="G28" i="12"/>
  <c r="D29" i="12"/>
  <c r="G29" i="12"/>
  <c r="D30" i="12"/>
  <c r="G30" i="12"/>
  <c r="D31" i="12"/>
  <c r="G31" i="12"/>
  <c r="D32" i="12"/>
  <c r="G32" i="12"/>
  <c r="D33" i="12"/>
  <c r="G33" i="12"/>
  <c r="D34" i="12"/>
  <c r="G34" i="12"/>
  <c r="D35" i="12"/>
  <c r="G35" i="12"/>
  <c r="D36" i="12"/>
  <c r="G36" i="12"/>
  <c r="D37" i="12"/>
  <c r="G37" i="12"/>
  <c r="D38" i="12"/>
  <c r="G38" i="12"/>
  <c r="D39" i="12"/>
  <c r="G39" i="12"/>
  <c r="D40" i="12"/>
  <c r="G40" i="12"/>
  <c r="D41" i="12"/>
  <c r="G41" i="12"/>
  <c r="D42" i="12"/>
  <c r="G42" i="12"/>
  <c r="D43" i="12"/>
  <c r="G43" i="12"/>
  <c r="D44" i="12"/>
  <c r="G44" i="12"/>
  <c r="D45" i="12"/>
  <c r="G45" i="12"/>
  <c r="D46" i="12"/>
  <c r="G46" i="12"/>
  <c r="D47" i="12"/>
  <c r="G47" i="12"/>
  <c r="D48" i="12"/>
  <c r="G48" i="12"/>
  <c r="D49" i="12"/>
  <c r="G49" i="12"/>
  <c r="D50" i="12"/>
  <c r="G50" i="12"/>
  <c r="D51" i="12"/>
  <c r="G51" i="12"/>
  <c r="D52" i="12"/>
  <c r="G52" i="12"/>
  <c r="D53" i="12"/>
  <c r="G53" i="12"/>
  <c r="D54" i="12"/>
  <c r="G54" i="12"/>
  <c r="D55" i="12"/>
  <c r="G55" i="12"/>
  <c r="D56" i="12"/>
  <c r="G56" i="12"/>
  <c r="D57" i="12"/>
  <c r="G57" i="12"/>
  <c r="D58" i="12"/>
  <c r="G58" i="12"/>
  <c r="D59" i="12"/>
  <c r="G59" i="12"/>
  <c r="D60" i="12"/>
  <c r="G60" i="12"/>
  <c r="D61" i="12"/>
  <c r="G61" i="12"/>
  <c r="D62" i="12"/>
  <c r="G62" i="12"/>
  <c r="D63" i="12"/>
  <c r="G63" i="12"/>
  <c r="D64" i="12"/>
  <c r="G64" i="12"/>
  <c r="D65" i="12"/>
  <c r="G65" i="12"/>
  <c r="D66" i="12"/>
  <c r="G66" i="12"/>
  <c r="D67" i="12"/>
  <c r="G67" i="12"/>
  <c r="D68" i="12"/>
  <c r="G68" i="12"/>
  <c r="D69" i="12"/>
  <c r="G69" i="12"/>
  <c r="D70" i="12"/>
  <c r="G70" i="12"/>
  <c r="D71" i="12"/>
  <c r="G71" i="12"/>
  <c r="D72" i="12"/>
  <c r="G72" i="12"/>
  <c r="D73" i="12"/>
  <c r="G73" i="12"/>
  <c r="D74" i="12"/>
  <c r="G74" i="12"/>
  <c r="D75" i="12"/>
  <c r="G75" i="12"/>
  <c r="D76" i="12"/>
  <c r="G76" i="12"/>
  <c r="D77" i="12"/>
  <c r="G77" i="12"/>
  <c r="D78" i="12"/>
  <c r="G78" i="12"/>
  <c r="D79" i="12"/>
  <c r="G79" i="12"/>
  <c r="D80" i="12"/>
  <c r="G80" i="12"/>
  <c r="D81" i="12"/>
  <c r="G81" i="12"/>
  <c r="D82" i="12"/>
  <c r="G82" i="12"/>
  <c r="D83" i="12"/>
  <c r="G83" i="12"/>
  <c r="D84" i="12"/>
  <c r="G84" i="12"/>
  <c r="D85" i="12"/>
  <c r="G85" i="12"/>
  <c r="D86" i="12"/>
  <c r="G86" i="12"/>
  <c r="D87" i="12"/>
  <c r="G87" i="12"/>
  <c r="D88" i="12"/>
  <c r="G88" i="12"/>
  <c r="D89" i="12"/>
  <c r="G89" i="12"/>
  <c r="D90" i="12"/>
  <c r="G90" i="12"/>
  <c r="D91" i="12"/>
  <c r="G91" i="12"/>
  <c r="D92" i="12"/>
  <c r="G92" i="12"/>
  <c r="D93" i="12"/>
  <c r="G93" i="12"/>
  <c r="D94" i="12"/>
  <c r="G94" i="12"/>
  <c r="D95" i="12"/>
  <c r="G95" i="12"/>
  <c r="D96" i="12"/>
  <c r="G96" i="12"/>
  <c r="D97" i="12"/>
  <c r="G97" i="12"/>
  <c r="D98" i="12"/>
  <c r="G98" i="12"/>
  <c r="D99" i="12"/>
  <c r="G99" i="12"/>
  <c r="D100" i="12"/>
  <c r="G100" i="12"/>
  <c r="D101" i="12"/>
  <c r="G101" i="12"/>
  <c r="D102" i="12"/>
  <c r="G102" i="12"/>
  <c r="D103" i="12"/>
  <c r="G103" i="12"/>
  <c r="D104" i="12"/>
  <c r="G104" i="12"/>
  <c r="D105" i="12"/>
  <c r="G105" i="12"/>
  <c r="D106" i="12"/>
  <c r="G106" i="12"/>
  <c r="D107" i="12"/>
  <c r="G107" i="12"/>
  <c r="D108" i="12"/>
  <c r="G108" i="12"/>
  <c r="D109" i="12"/>
  <c r="G109" i="12"/>
  <c r="D110" i="12"/>
  <c r="G110" i="12"/>
  <c r="D111" i="12"/>
  <c r="G111" i="12"/>
  <c r="D112" i="12"/>
  <c r="G112" i="12"/>
  <c r="D113" i="12"/>
  <c r="G113" i="12"/>
  <c r="D114" i="12"/>
  <c r="G114" i="12"/>
  <c r="D115" i="12"/>
  <c r="G115" i="12"/>
  <c r="D116" i="12"/>
  <c r="G116" i="12"/>
  <c r="D117" i="12"/>
  <c r="G117" i="12"/>
  <c r="D118" i="12"/>
  <c r="G118" i="12"/>
  <c r="D119" i="12"/>
  <c r="G119" i="12"/>
  <c r="D120" i="12"/>
  <c r="G120" i="12"/>
  <c r="D121" i="12"/>
  <c r="G121" i="12"/>
  <c r="D122" i="12"/>
  <c r="G122" i="12"/>
  <c r="D123" i="12"/>
  <c r="G123" i="12"/>
  <c r="D124" i="12"/>
  <c r="G124" i="12"/>
  <c r="D125" i="12"/>
  <c r="G125" i="12"/>
  <c r="D126" i="12"/>
  <c r="G126" i="12"/>
  <c r="D127" i="12"/>
  <c r="G127" i="12"/>
  <c r="D128" i="12"/>
  <c r="G128" i="12"/>
  <c r="D129" i="12"/>
  <c r="G129" i="12"/>
  <c r="D130" i="12"/>
  <c r="G130" i="12"/>
  <c r="D131" i="12"/>
  <c r="G131" i="12"/>
  <c r="D132" i="12"/>
  <c r="G132" i="12"/>
  <c r="D133" i="12"/>
  <c r="G133" i="12"/>
  <c r="D134" i="12"/>
  <c r="G134" i="12"/>
  <c r="D135" i="12"/>
  <c r="G135" i="12"/>
  <c r="D136" i="12"/>
  <c r="G136" i="12"/>
  <c r="D137" i="12"/>
  <c r="G137" i="12"/>
  <c r="D138" i="12"/>
  <c r="G138" i="12"/>
  <c r="D139" i="12"/>
  <c r="G139" i="12"/>
  <c r="D140" i="12"/>
  <c r="G140" i="12"/>
  <c r="D141" i="12"/>
  <c r="G141" i="12"/>
  <c r="D142" i="12"/>
  <c r="G142" i="12"/>
  <c r="D143" i="12"/>
  <c r="G143" i="12"/>
  <c r="D144" i="12"/>
  <c r="G144" i="12"/>
  <c r="D145" i="12"/>
  <c r="G145" i="12"/>
  <c r="D146" i="12"/>
  <c r="G146" i="12"/>
  <c r="D147" i="12"/>
  <c r="G147" i="12"/>
  <c r="D148" i="12"/>
  <c r="G148" i="12"/>
  <c r="D149" i="12"/>
  <c r="G149" i="12"/>
  <c r="D150" i="12"/>
  <c r="G150" i="12"/>
  <c r="D151" i="12"/>
  <c r="G151" i="12"/>
  <c r="D152" i="12"/>
  <c r="G152" i="12"/>
  <c r="D153" i="12"/>
  <c r="G153" i="12"/>
  <c r="D154" i="12"/>
  <c r="G154" i="12"/>
  <c r="D155" i="12"/>
  <c r="G155" i="12"/>
  <c r="D156" i="12"/>
  <c r="G156" i="12"/>
  <c r="D157" i="12"/>
  <c r="G157" i="12"/>
  <c r="D158" i="12"/>
  <c r="G158" i="12"/>
  <c r="D159" i="12"/>
  <c r="G159" i="12"/>
  <c r="D160" i="12"/>
  <c r="G160" i="12"/>
  <c r="D161" i="12"/>
  <c r="G161" i="12"/>
  <c r="D162" i="12"/>
  <c r="G162" i="12"/>
  <c r="D163" i="12"/>
  <c r="G163" i="12"/>
  <c r="D164" i="12"/>
  <c r="G164" i="12"/>
  <c r="D165" i="12"/>
  <c r="G165" i="12"/>
  <c r="D166" i="12"/>
  <c r="G166" i="12"/>
  <c r="D167" i="12"/>
  <c r="G167" i="12"/>
  <c r="D168" i="12"/>
  <c r="G168" i="12"/>
  <c r="D169" i="12"/>
  <c r="G169" i="12"/>
  <c r="D170" i="12"/>
  <c r="G170" i="12"/>
  <c r="D171" i="12"/>
  <c r="G171" i="12"/>
  <c r="D172" i="12"/>
  <c r="G172" i="12"/>
  <c r="D173" i="12"/>
  <c r="G173" i="12"/>
  <c r="D174" i="12"/>
  <c r="G174" i="12"/>
  <c r="D175" i="12"/>
  <c r="G175" i="12"/>
  <c r="D176" i="12"/>
  <c r="G176" i="12"/>
  <c r="D177" i="12"/>
  <c r="G177" i="12"/>
  <c r="D178" i="12"/>
  <c r="G178" i="12"/>
  <c r="D179" i="12"/>
  <c r="G179" i="12"/>
  <c r="D180" i="12"/>
  <c r="G180" i="12"/>
  <c r="D181" i="12"/>
  <c r="G181" i="12"/>
  <c r="D182" i="12"/>
  <c r="G182" i="12"/>
  <c r="D183" i="12"/>
  <c r="G183" i="12"/>
  <c r="D184" i="12"/>
  <c r="G184" i="12"/>
  <c r="D185" i="12"/>
  <c r="G185" i="12"/>
  <c r="D186" i="12"/>
  <c r="G186" i="12"/>
  <c r="D187" i="12"/>
  <c r="G187" i="12"/>
  <c r="D188" i="12"/>
  <c r="G188" i="12"/>
  <c r="D189" i="12"/>
  <c r="G189" i="12"/>
  <c r="D190" i="12"/>
  <c r="G190" i="12"/>
  <c r="D191" i="12"/>
  <c r="G191" i="12"/>
  <c r="D192" i="12"/>
  <c r="G192" i="12"/>
  <c r="D193" i="12"/>
  <c r="G193" i="12"/>
  <c r="D194" i="12"/>
  <c r="G194" i="12"/>
  <c r="D195" i="12"/>
  <c r="G195" i="12"/>
  <c r="D196" i="12"/>
  <c r="G196" i="12"/>
  <c r="D197" i="12"/>
  <c r="G197" i="12"/>
  <c r="D198" i="12"/>
  <c r="G198" i="12"/>
  <c r="D199" i="12"/>
  <c r="G199" i="12"/>
  <c r="D200" i="12"/>
  <c r="G200" i="12"/>
  <c r="D201" i="12"/>
  <c r="G201" i="12"/>
  <c r="D202" i="12"/>
  <c r="G202" i="12"/>
  <c r="D203" i="12"/>
  <c r="G203" i="12"/>
  <c r="D204" i="12"/>
  <c r="G204" i="12"/>
  <c r="D205" i="12"/>
  <c r="G205" i="12"/>
  <c r="D206" i="12"/>
  <c r="G206" i="12"/>
  <c r="D207" i="12"/>
  <c r="G207" i="12"/>
  <c r="D208" i="12"/>
  <c r="G208" i="12"/>
  <c r="D209" i="12"/>
  <c r="G209" i="12"/>
  <c r="D210" i="12"/>
  <c r="G210" i="12"/>
  <c r="D211" i="12"/>
  <c r="G211" i="12"/>
  <c r="D212" i="12"/>
  <c r="G212" i="12"/>
  <c r="D213" i="12"/>
  <c r="G213" i="12"/>
  <c r="D214" i="12"/>
  <c r="G214" i="12"/>
  <c r="D215" i="12"/>
  <c r="G215" i="12"/>
  <c r="D216" i="12"/>
  <c r="G216" i="12"/>
  <c r="D217" i="12"/>
  <c r="G217" i="12"/>
  <c r="D218" i="12"/>
  <c r="G218" i="12"/>
  <c r="D219" i="12"/>
  <c r="G219" i="12"/>
  <c r="D220" i="12"/>
  <c r="G220" i="12"/>
  <c r="D221" i="12"/>
  <c r="G221" i="12"/>
  <c r="D222" i="12"/>
  <c r="G222" i="12"/>
  <c r="D223" i="12"/>
  <c r="G223" i="12"/>
  <c r="D224" i="12"/>
  <c r="G224" i="12"/>
  <c r="D225" i="12"/>
  <c r="G225" i="12"/>
  <c r="D226" i="12"/>
  <c r="G226" i="12"/>
  <c r="D227" i="12"/>
  <c r="G227" i="12"/>
  <c r="D228" i="12"/>
  <c r="G228" i="12"/>
  <c r="D229" i="12"/>
  <c r="G229" i="12"/>
  <c r="D230" i="12"/>
  <c r="G230" i="12"/>
  <c r="D231" i="12"/>
  <c r="G231" i="12"/>
  <c r="D232" i="12"/>
  <c r="G232" i="12"/>
  <c r="D233" i="12"/>
  <c r="G233" i="12"/>
  <c r="D234" i="12"/>
  <c r="G234" i="12"/>
  <c r="D235" i="12"/>
  <c r="G235" i="12"/>
  <c r="D236" i="12"/>
  <c r="G236" i="12"/>
  <c r="D237" i="12"/>
  <c r="G237" i="12"/>
  <c r="D238" i="12"/>
  <c r="G238" i="12"/>
  <c r="D239" i="12"/>
  <c r="G239" i="12"/>
  <c r="D240" i="12"/>
  <c r="G240" i="12"/>
  <c r="D241" i="12"/>
  <c r="G241" i="12"/>
  <c r="D242" i="12"/>
  <c r="G242" i="12"/>
  <c r="D243" i="12"/>
  <c r="G243" i="12"/>
  <c r="D244" i="12"/>
  <c r="G244" i="12"/>
  <c r="D245" i="12"/>
  <c r="G245" i="12"/>
  <c r="D246" i="12"/>
  <c r="G246" i="12"/>
  <c r="D247" i="12"/>
  <c r="G247" i="12"/>
  <c r="D248" i="12"/>
  <c r="G248" i="12"/>
  <c r="D249" i="12"/>
  <c r="G249" i="12"/>
  <c r="D250" i="12"/>
  <c r="G250" i="12"/>
  <c r="D251" i="12"/>
  <c r="G251" i="12"/>
  <c r="D252" i="12"/>
  <c r="G252" i="12"/>
  <c r="D253" i="12"/>
  <c r="G253" i="12"/>
  <c r="D254" i="12"/>
  <c r="G254" i="12"/>
  <c r="D255" i="12"/>
  <c r="G255" i="12"/>
  <c r="D256" i="12"/>
  <c r="G256" i="12"/>
  <c r="D257" i="12"/>
  <c r="G257" i="12"/>
  <c r="D258" i="12"/>
  <c r="G258" i="12"/>
  <c r="D259" i="12"/>
  <c r="G259" i="12"/>
  <c r="D260" i="12"/>
  <c r="G260" i="12"/>
  <c r="D261" i="12"/>
  <c r="G261" i="12"/>
  <c r="D262" i="12"/>
  <c r="G262" i="12"/>
  <c r="D263" i="12"/>
  <c r="G263" i="12"/>
  <c r="D264" i="12"/>
  <c r="G264" i="12"/>
  <c r="D265" i="12"/>
  <c r="G265" i="12"/>
  <c r="D266" i="12"/>
  <c r="G266" i="12"/>
  <c r="D267" i="12"/>
  <c r="G267" i="12"/>
  <c r="D268" i="12"/>
  <c r="G268" i="12"/>
  <c r="D269" i="12"/>
  <c r="G269" i="12"/>
  <c r="D270" i="12"/>
  <c r="G270" i="12"/>
  <c r="D271" i="12"/>
  <c r="G271" i="12"/>
  <c r="D272" i="12"/>
  <c r="G272" i="12"/>
  <c r="D273" i="12"/>
  <c r="G273" i="12"/>
  <c r="D274" i="12"/>
  <c r="G274" i="12"/>
  <c r="D275" i="12"/>
  <c r="G275" i="12"/>
  <c r="D276" i="12"/>
  <c r="G276" i="12"/>
  <c r="D277" i="12"/>
  <c r="G277" i="12"/>
  <c r="D278" i="12"/>
  <c r="G278" i="12"/>
  <c r="D279" i="12"/>
  <c r="G279" i="12"/>
  <c r="D280" i="12"/>
  <c r="G280" i="12"/>
  <c r="D281" i="12"/>
  <c r="G281" i="12"/>
  <c r="D282" i="12"/>
  <c r="G282" i="12"/>
  <c r="D283" i="12"/>
  <c r="G283" i="12"/>
  <c r="D284" i="12"/>
  <c r="G284" i="12"/>
  <c r="D285" i="12"/>
  <c r="G285" i="12"/>
  <c r="D286" i="12"/>
  <c r="G286" i="12"/>
  <c r="D287" i="12"/>
  <c r="G287" i="12"/>
  <c r="D288" i="12"/>
  <c r="G288" i="12"/>
  <c r="D289" i="12"/>
  <c r="G289" i="12"/>
  <c r="D290" i="12"/>
  <c r="G290" i="12"/>
  <c r="D291" i="12"/>
  <c r="G291" i="12"/>
  <c r="D292" i="12"/>
  <c r="G292" i="12"/>
  <c r="D293" i="12"/>
  <c r="G293" i="12"/>
  <c r="D294" i="12"/>
  <c r="G294" i="12"/>
  <c r="D295" i="12"/>
  <c r="G295" i="12"/>
  <c r="D296" i="12"/>
  <c r="G296" i="12"/>
  <c r="D297" i="12"/>
  <c r="G297" i="12"/>
  <c r="D298" i="12"/>
  <c r="G298" i="12"/>
  <c r="D299" i="12"/>
  <c r="G299" i="12"/>
  <c r="D300" i="12"/>
  <c r="G300" i="12"/>
  <c r="D301" i="12"/>
  <c r="G301" i="12"/>
  <c r="D302" i="12"/>
  <c r="G302" i="12"/>
  <c r="D303" i="12"/>
  <c r="G303" i="12"/>
  <c r="D304" i="12"/>
  <c r="G304" i="12"/>
  <c r="D305" i="12"/>
  <c r="G305" i="12"/>
  <c r="D306" i="12"/>
  <c r="G306" i="12"/>
  <c r="D307" i="12"/>
  <c r="G307" i="12"/>
  <c r="D308" i="12"/>
  <c r="G308" i="12"/>
  <c r="D309" i="12"/>
  <c r="G309" i="12"/>
  <c r="D310" i="12"/>
  <c r="G310" i="12"/>
  <c r="D311" i="12"/>
  <c r="G311" i="12"/>
  <c r="D312" i="12"/>
  <c r="G312" i="12"/>
  <c r="D313" i="12"/>
  <c r="G313" i="12"/>
  <c r="D314" i="12"/>
  <c r="G314" i="12"/>
  <c r="D315" i="12"/>
  <c r="G315" i="12"/>
  <c r="D316" i="12"/>
  <c r="G316" i="12"/>
  <c r="D317" i="12"/>
  <c r="G317" i="12"/>
  <c r="D318" i="12"/>
  <c r="G318" i="12"/>
  <c r="D319" i="12"/>
  <c r="G319" i="12"/>
  <c r="D320" i="12"/>
  <c r="G320" i="12"/>
  <c r="D321" i="12"/>
  <c r="G321" i="12"/>
  <c r="D322" i="12"/>
  <c r="G322" i="12"/>
  <c r="D323" i="12"/>
  <c r="G323" i="12"/>
  <c r="D324" i="12"/>
  <c r="G324" i="12"/>
  <c r="D325" i="12"/>
  <c r="G325" i="12"/>
  <c r="D326" i="12"/>
  <c r="G326" i="12"/>
  <c r="D327" i="12"/>
  <c r="G327" i="12"/>
  <c r="D328" i="12"/>
  <c r="G328" i="12"/>
  <c r="D329" i="12"/>
  <c r="G329" i="12"/>
  <c r="D330" i="12"/>
  <c r="G330" i="12"/>
  <c r="D331" i="12"/>
  <c r="G331" i="12"/>
  <c r="D332" i="12"/>
  <c r="G332" i="12"/>
  <c r="D333" i="12"/>
  <c r="G333" i="12"/>
  <c r="D334" i="12"/>
  <c r="G334" i="12"/>
  <c r="D335" i="12"/>
  <c r="G335" i="12"/>
  <c r="D336" i="12"/>
  <c r="G336" i="12"/>
  <c r="D337" i="12"/>
  <c r="G337" i="12"/>
  <c r="D338" i="12"/>
  <c r="G338" i="12"/>
  <c r="D339" i="12"/>
  <c r="G339" i="12"/>
  <c r="D340" i="12"/>
  <c r="G340" i="12"/>
  <c r="D341" i="12"/>
  <c r="G341" i="12"/>
  <c r="D342" i="12"/>
  <c r="G342" i="12"/>
  <c r="D343" i="12"/>
  <c r="G343" i="12"/>
  <c r="D344" i="12"/>
  <c r="G344" i="12"/>
  <c r="D345" i="12"/>
  <c r="G345" i="12"/>
  <c r="D346" i="12"/>
  <c r="G346" i="12"/>
  <c r="D347" i="12"/>
  <c r="G347" i="12"/>
  <c r="D348" i="12"/>
  <c r="G348" i="12"/>
  <c r="D349" i="12"/>
  <c r="G349" i="12"/>
  <c r="D350" i="12"/>
  <c r="G350" i="12"/>
  <c r="D351" i="12"/>
  <c r="G351" i="12"/>
  <c r="D352" i="12"/>
  <c r="G352" i="12"/>
  <c r="D353" i="12"/>
  <c r="G353" i="12"/>
  <c r="D354" i="12"/>
  <c r="G354" i="12"/>
  <c r="D355" i="12"/>
  <c r="G355" i="12"/>
  <c r="D356" i="12"/>
  <c r="G356" i="12"/>
  <c r="D357" i="12"/>
  <c r="G357" i="12"/>
  <c r="D358" i="12"/>
  <c r="G358" i="12"/>
  <c r="D359" i="12"/>
  <c r="G359" i="12"/>
  <c r="D360" i="12"/>
  <c r="G360" i="12"/>
  <c r="D361" i="12"/>
  <c r="G361" i="12"/>
  <c r="D362" i="12"/>
  <c r="G362" i="12"/>
  <c r="D363" i="12"/>
  <c r="G363" i="12"/>
  <c r="D364" i="12"/>
  <c r="G364" i="12"/>
  <c r="D365" i="12"/>
  <c r="G365" i="12"/>
  <c r="D366" i="12"/>
  <c r="G366" i="12"/>
  <c r="D367" i="12"/>
  <c r="G367" i="12"/>
  <c r="D368" i="12"/>
  <c r="G368" i="12"/>
  <c r="D369" i="12"/>
  <c r="G369" i="12"/>
  <c r="D370" i="12"/>
  <c r="G370" i="12"/>
  <c r="D371" i="12"/>
  <c r="G371" i="12"/>
  <c r="D372" i="12"/>
  <c r="G372" i="12"/>
  <c r="D373" i="12"/>
  <c r="G373" i="12"/>
  <c r="D374" i="12"/>
  <c r="G374" i="12"/>
  <c r="D375" i="12"/>
  <c r="G375" i="12"/>
  <c r="D376" i="12"/>
  <c r="G376" i="12"/>
  <c r="D377" i="12"/>
  <c r="G377" i="12"/>
  <c r="D378" i="12"/>
  <c r="G378" i="12"/>
  <c r="D379" i="12"/>
  <c r="G379" i="12"/>
  <c r="D380" i="12"/>
  <c r="G380" i="12"/>
  <c r="D381" i="12"/>
  <c r="G381" i="12"/>
  <c r="D382" i="12"/>
  <c r="G382" i="12"/>
  <c r="D383" i="12"/>
  <c r="G383" i="12"/>
  <c r="D384" i="12"/>
  <c r="G384" i="12"/>
  <c r="D385" i="12"/>
  <c r="G385" i="12"/>
  <c r="D386" i="12"/>
  <c r="G386" i="12"/>
  <c r="D387" i="12"/>
  <c r="G387" i="12"/>
  <c r="D388" i="12"/>
  <c r="G388" i="12"/>
  <c r="D389" i="12"/>
  <c r="G389" i="12"/>
  <c r="D390" i="12"/>
  <c r="G390" i="12"/>
  <c r="D391" i="12"/>
  <c r="G391" i="12"/>
  <c r="D392" i="12"/>
  <c r="G392" i="12"/>
  <c r="D393" i="12"/>
  <c r="G393" i="12"/>
  <c r="D394" i="12"/>
  <c r="G394" i="12"/>
  <c r="D395" i="12"/>
  <c r="G395" i="12"/>
  <c r="D396" i="12"/>
  <c r="G396" i="12"/>
  <c r="D397" i="12"/>
  <c r="G397" i="12"/>
  <c r="D398" i="12"/>
  <c r="G398" i="12"/>
  <c r="D399" i="12"/>
  <c r="G399" i="12"/>
  <c r="D400" i="12"/>
  <c r="G400" i="12"/>
  <c r="D401" i="12"/>
  <c r="G401" i="12"/>
  <c r="D402" i="12"/>
  <c r="G402" i="12"/>
  <c r="D403" i="12"/>
  <c r="G403" i="12"/>
  <c r="D404" i="12"/>
  <c r="G404" i="12"/>
  <c r="D405" i="12"/>
  <c r="G405" i="12"/>
  <c r="D406" i="12"/>
  <c r="G406" i="12"/>
  <c r="D407" i="12"/>
  <c r="G407" i="12"/>
  <c r="D408" i="12"/>
  <c r="G408" i="12"/>
  <c r="D409" i="12"/>
  <c r="G409" i="12"/>
  <c r="D410" i="12"/>
  <c r="G410" i="12"/>
  <c r="D411" i="12"/>
  <c r="G411" i="12"/>
  <c r="D412" i="12"/>
  <c r="G412" i="12"/>
  <c r="D413" i="12"/>
  <c r="G413" i="12"/>
  <c r="D414" i="12"/>
  <c r="G414" i="12"/>
  <c r="D415" i="12"/>
  <c r="G415" i="12"/>
  <c r="D416" i="12"/>
  <c r="G416" i="12"/>
  <c r="D417" i="12"/>
  <c r="G417" i="12"/>
  <c r="D418" i="12"/>
  <c r="G418" i="12"/>
  <c r="D419" i="12"/>
  <c r="G419" i="12"/>
  <c r="D420" i="12"/>
  <c r="G420" i="12"/>
  <c r="D421" i="12"/>
  <c r="G421" i="12"/>
  <c r="D422" i="12"/>
  <c r="G422" i="12"/>
  <c r="D423" i="12"/>
  <c r="G423" i="12"/>
  <c r="D424" i="12"/>
  <c r="G424" i="12"/>
  <c r="D425" i="12"/>
  <c r="G425" i="12"/>
  <c r="D426" i="12"/>
  <c r="G426" i="12"/>
  <c r="D427" i="12"/>
  <c r="G427" i="12"/>
  <c r="D428" i="12"/>
  <c r="G428" i="12"/>
  <c r="D429" i="12"/>
  <c r="G429" i="12"/>
  <c r="D430" i="12"/>
  <c r="G430" i="12"/>
  <c r="D431" i="12"/>
  <c r="G431" i="12"/>
  <c r="D432" i="12"/>
  <c r="G432" i="12"/>
  <c r="D433" i="12"/>
  <c r="G433" i="12"/>
  <c r="D434" i="12"/>
  <c r="G434" i="12"/>
  <c r="D435" i="12"/>
  <c r="G435" i="12"/>
  <c r="D436" i="12"/>
  <c r="G436" i="12"/>
  <c r="D437" i="12"/>
  <c r="G437" i="12"/>
  <c r="D438" i="12"/>
  <c r="G438" i="12"/>
  <c r="D439" i="12"/>
  <c r="G439" i="12"/>
  <c r="D440" i="12"/>
  <c r="G440" i="12"/>
  <c r="D441" i="12"/>
  <c r="G441" i="12"/>
  <c r="D442" i="12"/>
  <c r="G442" i="12"/>
  <c r="D443" i="12"/>
  <c r="G443" i="12"/>
  <c r="D444" i="12"/>
  <c r="G444" i="12"/>
  <c r="D445" i="12"/>
  <c r="G445" i="12"/>
  <c r="D446" i="12"/>
  <c r="G446" i="12"/>
  <c r="D447" i="12"/>
  <c r="G447" i="12"/>
  <c r="D448" i="12"/>
  <c r="G448" i="12"/>
  <c r="D449" i="12"/>
  <c r="G449" i="12"/>
  <c r="D450" i="12"/>
  <c r="G450" i="12"/>
  <c r="D451" i="12"/>
  <c r="G451" i="12"/>
  <c r="D452" i="12"/>
  <c r="G452" i="12"/>
  <c r="D453" i="12"/>
  <c r="G453" i="12"/>
  <c r="D454" i="12"/>
  <c r="G454" i="12"/>
  <c r="D455" i="12"/>
  <c r="G455" i="12"/>
  <c r="D456" i="12"/>
  <c r="G456" i="12"/>
  <c r="D457" i="12"/>
  <c r="G457" i="12"/>
  <c r="D458" i="12"/>
  <c r="G458" i="12"/>
  <c r="D459" i="12"/>
  <c r="G459" i="12"/>
  <c r="D460" i="12"/>
  <c r="G460" i="12"/>
  <c r="D461" i="12"/>
  <c r="G461" i="12"/>
  <c r="D462" i="12"/>
  <c r="G462" i="12"/>
  <c r="D463" i="12"/>
  <c r="G463" i="12"/>
  <c r="D464" i="12"/>
  <c r="G464" i="12"/>
  <c r="D465" i="12"/>
  <c r="G465" i="12"/>
  <c r="D466" i="12"/>
  <c r="G466" i="12"/>
  <c r="D467" i="12"/>
  <c r="G467" i="12"/>
  <c r="D468" i="12"/>
  <c r="G468" i="12"/>
  <c r="D469" i="12"/>
  <c r="G469" i="12"/>
  <c r="D470" i="12"/>
  <c r="G470" i="12"/>
  <c r="D471" i="12"/>
  <c r="G471" i="12"/>
  <c r="D472" i="12"/>
  <c r="G472" i="12"/>
  <c r="D473" i="12"/>
  <c r="G473" i="12"/>
  <c r="D474" i="12"/>
  <c r="G474" i="12"/>
  <c r="D475" i="12"/>
  <c r="G475" i="12"/>
  <c r="D476" i="12"/>
  <c r="G476" i="12"/>
  <c r="D477" i="12"/>
  <c r="G477" i="12"/>
  <c r="D478" i="12"/>
  <c r="G478" i="12"/>
  <c r="D479" i="12"/>
  <c r="G479" i="12"/>
  <c r="D480" i="12"/>
  <c r="G480" i="12"/>
  <c r="D481" i="12"/>
  <c r="G481" i="12"/>
  <c r="D482" i="12"/>
  <c r="G482" i="12"/>
  <c r="D483" i="12"/>
  <c r="G483" i="12"/>
  <c r="D484" i="12"/>
  <c r="G484" i="12"/>
  <c r="D485" i="12"/>
  <c r="G485" i="12"/>
  <c r="D486" i="12"/>
  <c r="G486" i="12"/>
  <c r="D487" i="12"/>
  <c r="G487" i="12"/>
  <c r="D488" i="12"/>
  <c r="G488" i="12"/>
  <c r="D489" i="12"/>
  <c r="G489" i="12"/>
  <c r="D490" i="12"/>
  <c r="G490" i="12"/>
  <c r="D491" i="12"/>
  <c r="G491" i="12"/>
  <c r="D492" i="12"/>
  <c r="G492" i="12"/>
  <c r="D493" i="12"/>
  <c r="G493" i="12"/>
  <c r="D494" i="12"/>
  <c r="G494" i="12"/>
  <c r="D495" i="12"/>
  <c r="G495" i="12"/>
  <c r="D496" i="12"/>
  <c r="G496" i="12"/>
  <c r="D497" i="12"/>
  <c r="G497" i="12"/>
  <c r="D498" i="12"/>
  <c r="G498" i="12"/>
  <c r="D499" i="12"/>
  <c r="G499" i="12"/>
  <c r="D500" i="12"/>
  <c r="G500" i="12"/>
  <c r="D501" i="12"/>
  <c r="G501" i="12"/>
  <c r="D502" i="12"/>
  <c r="G502" i="12"/>
  <c r="D503" i="12"/>
  <c r="G503" i="12"/>
  <c r="D504" i="12"/>
  <c r="G504" i="12"/>
  <c r="D505" i="12"/>
  <c r="G505" i="12"/>
  <c r="D506" i="12"/>
  <c r="G506" i="12"/>
  <c r="D507" i="12"/>
  <c r="G507" i="12"/>
  <c r="D508" i="12"/>
  <c r="G508" i="12"/>
  <c r="D509" i="12"/>
  <c r="G509" i="12"/>
  <c r="D510" i="12"/>
  <c r="G510" i="12"/>
  <c r="D511" i="12"/>
  <c r="G511" i="12"/>
  <c r="D512" i="12"/>
  <c r="G512" i="12"/>
  <c r="D513" i="12"/>
  <c r="G513" i="12"/>
  <c r="D514" i="12"/>
  <c r="G514" i="12"/>
  <c r="D515" i="12"/>
  <c r="G515" i="12"/>
  <c r="D516" i="12"/>
  <c r="G516" i="12"/>
  <c r="D517" i="12"/>
  <c r="G517" i="12"/>
  <c r="D518" i="12"/>
  <c r="G518" i="12"/>
  <c r="D519" i="12"/>
  <c r="G519" i="12"/>
  <c r="D520" i="12"/>
  <c r="G520" i="12"/>
  <c r="D521" i="12"/>
  <c r="G521" i="12"/>
  <c r="D522" i="12"/>
  <c r="G522" i="12"/>
  <c r="D523" i="12"/>
  <c r="G523" i="12"/>
  <c r="D524" i="12"/>
  <c r="G524" i="12"/>
  <c r="O22" i="14"/>
  <c r="P22" i="14"/>
  <c r="Q22" i="14"/>
  <c r="N22" i="14"/>
  <c r="O21" i="14"/>
  <c r="O23" i="14" s="1"/>
  <c r="P21" i="14"/>
  <c r="P23" i="14" s="1"/>
  <c r="Q23" i="14"/>
  <c r="N21" i="14"/>
  <c r="N23" i="14" s="1"/>
  <c r="O20" i="14"/>
  <c r="P20" i="14"/>
  <c r="Q20" i="14"/>
  <c r="N20" i="14"/>
  <c r="O19" i="14"/>
  <c r="P19" i="14"/>
  <c r="N19" i="14"/>
  <c r="B18" i="14"/>
  <c r="Q5" i="14"/>
  <c r="Q6" i="14"/>
  <c r="Q7" i="14"/>
  <c r="Q8" i="14"/>
  <c r="I7" i="14"/>
  <c r="J8" i="14"/>
  <c r="J7" i="14"/>
  <c r="J6" i="14"/>
  <c r="J5" i="14"/>
  <c r="L4" i="14"/>
  <c r="Q4" i="14" s="1"/>
  <c r="K4" i="14"/>
  <c r="J4" i="14"/>
  <c r="I4" i="14"/>
  <c r="F8" i="14"/>
  <c r="G8" i="14" s="1"/>
  <c r="F7" i="14"/>
  <c r="G7" i="14" s="1"/>
  <c r="F6" i="14"/>
  <c r="G6" i="14" s="1"/>
  <c r="F5" i="14"/>
  <c r="G5" i="14"/>
  <c r="F4" i="14"/>
  <c r="G4" i="14" s="1"/>
  <c r="D5" i="14"/>
  <c r="D6" i="14"/>
  <c r="D7" i="14"/>
  <c r="D8" i="14"/>
  <c r="D4" i="14"/>
  <c r="B1" i="14"/>
  <c r="M61" i="9"/>
  <c r="N61" i="9"/>
  <c r="O61" i="9"/>
  <c r="P61" i="9"/>
  <c r="Q61" i="9"/>
  <c r="N65" i="9"/>
  <c r="O65" i="9"/>
  <c r="P65" i="9"/>
  <c r="Q65" i="9"/>
  <c r="M65" i="9"/>
  <c r="N76" i="9"/>
  <c r="O76" i="9"/>
  <c r="P76" i="9"/>
  <c r="Q76" i="9"/>
  <c r="M76" i="9"/>
  <c r="N82" i="9"/>
  <c r="O82" i="9"/>
  <c r="P82" i="9"/>
  <c r="Q82" i="9"/>
  <c r="M82" i="9"/>
  <c r="N79" i="9"/>
  <c r="O79" i="9"/>
  <c r="P79" i="9"/>
  <c r="Q79" i="9"/>
  <c r="M79" i="9"/>
  <c r="D19" i="10"/>
  <c r="E19" i="10"/>
  <c r="F19" i="10"/>
  <c r="F7" i="11" s="1"/>
  <c r="F14" i="11" s="1"/>
  <c r="G19" i="10"/>
  <c r="H19" i="10"/>
  <c r="I19" i="10"/>
  <c r="J19" i="10"/>
  <c r="J7" i="11" s="1"/>
  <c r="J14" i="11" s="1"/>
  <c r="K19" i="10"/>
  <c r="L19" i="10"/>
  <c r="L7" i="11" s="1"/>
  <c r="L14" i="11" s="1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C20" i="10"/>
  <c r="B1" i="11"/>
  <c r="C19" i="10"/>
  <c r="C7" i="11" s="1"/>
  <c r="C8" i="10"/>
  <c r="D8" i="11"/>
  <c r="E8" i="11"/>
  <c r="F8" i="11"/>
  <c r="G8" i="11"/>
  <c r="H8" i="11"/>
  <c r="I8" i="11"/>
  <c r="J8" i="11"/>
  <c r="K8" i="11"/>
  <c r="L8" i="11"/>
  <c r="D7" i="11"/>
  <c r="E7" i="11"/>
  <c r="G7" i="11"/>
  <c r="H7" i="11"/>
  <c r="I7" i="11"/>
  <c r="K7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C4" i="11"/>
  <c r="C8" i="11"/>
  <c r="C5" i="11"/>
  <c r="L2" i="11"/>
  <c r="M2" i="11" s="1"/>
  <c r="N2" i="11" s="1"/>
  <c r="O2" i="11" s="1"/>
  <c r="P2" i="11" s="1"/>
  <c r="Q2" i="11" s="1"/>
  <c r="K2" i="11"/>
  <c r="J2" i="11"/>
  <c r="I2" i="11"/>
  <c r="H2" i="11"/>
  <c r="G2" i="11"/>
  <c r="F2" i="11"/>
  <c r="E2" i="11"/>
  <c r="D2" i="11"/>
  <c r="C2" i="11"/>
  <c r="B2" i="11"/>
  <c r="D35" i="9"/>
  <c r="D49" i="8" s="1"/>
  <c r="E35" i="9"/>
  <c r="E49" i="8" s="1"/>
  <c r="E50" i="8" s="1"/>
  <c r="F35" i="9"/>
  <c r="F49" i="8" s="1"/>
  <c r="G35" i="9"/>
  <c r="G49" i="8" s="1"/>
  <c r="H35" i="9"/>
  <c r="H49" i="8" s="1"/>
  <c r="I35" i="9"/>
  <c r="I49" i="8" s="1"/>
  <c r="J35" i="9"/>
  <c r="J49" i="8" s="1"/>
  <c r="K35" i="9"/>
  <c r="K49" i="8" s="1"/>
  <c r="L35" i="9"/>
  <c r="L49" i="8" s="1"/>
  <c r="D42" i="10"/>
  <c r="E42" i="10"/>
  <c r="F42" i="10"/>
  <c r="G42" i="10"/>
  <c r="H42" i="10"/>
  <c r="I42" i="10"/>
  <c r="J42" i="10"/>
  <c r="K42" i="10"/>
  <c r="L42" i="10"/>
  <c r="C42" i="10"/>
  <c r="C43" i="10" s="1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C16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C10" i="10"/>
  <c r="D43" i="10"/>
  <c r="E43" i="10"/>
  <c r="F43" i="10"/>
  <c r="G43" i="10"/>
  <c r="H43" i="10"/>
  <c r="I43" i="10"/>
  <c r="J43" i="10"/>
  <c r="K43" i="10"/>
  <c r="L43" i="10"/>
  <c r="D33" i="10"/>
  <c r="E33" i="10"/>
  <c r="F33" i="10"/>
  <c r="G33" i="10"/>
  <c r="H33" i="10"/>
  <c r="I33" i="10"/>
  <c r="J33" i="10"/>
  <c r="K33" i="10"/>
  <c r="L33" i="10"/>
  <c r="D31" i="10"/>
  <c r="D32" i="10" s="1"/>
  <c r="E31" i="10"/>
  <c r="E32" i="10" s="1"/>
  <c r="F31" i="10"/>
  <c r="F32" i="10" s="1"/>
  <c r="G31" i="10"/>
  <c r="G32" i="10" s="1"/>
  <c r="H31" i="10"/>
  <c r="H32" i="10" s="1"/>
  <c r="I31" i="10"/>
  <c r="I32" i="10" s="1"/>
  <c r="J31" i="10"/>
  <c r="J32" i="10" s="1"/>
  <c r="K31" i="10"/>
  <c r="K32" i="10" s="1"/>
  <c r="L31" i="10"/>
  <c r="L32" i="10" s="1"/>
  <c r="D28" i="10"/>
  <c r="E28" i="10"/>
  <c r="F28" i="10"/>
  <c r="G28" i="10"/>
  <c r="H28" i="10"/>
  <c r="I28" i="10"/>
  <c r="J28" i="10"/>
  <c r="K28" i="10"/>
  <c r="L28" i="10"/>
  <c r="D27" i="10"/>
  <c r="E27" i="10"/>
  <c r="F27" i="10"/>
  <c r="G27" i="10"/>
  <c r="H27" i="10"/>
  <c r="I27" i="10"/>
  <c r="J27" i="10"/>
  <c r="K27" i="10"/>
  <c r="L27" i="10"/>
  <c r="D26" i="10"/>
  <c r="E26" i="10"/>
  <c r="F26" i="10"/>
  <c r="G26" i="10"/>
  <c r="H26" i="10"/>
  <c r="I26" i="10"/>
  <c r="J26" i="10"/>
  <c r="K26" i="10"/>
  <c r="L26" i="10"/>
  <c r="D23" i="10"/>
  <c r="D38" i="10" s="1"/>
  <c r="E23" i="10"/>
  <c r="E38" i="10" s="1"/>
  <c r="F23" i="10"/>
  <c r="F38" i="10" s="1"/>
  <c r="G23" i="10"/>
  <c r="G38" i="10" s="1"/>
  <c r="H23" i="10"/>
  <c r="H38" i="10" s="1"/>
  <c r="I23" i="10"/>
  <c r="I38" i="10" s="1"/>
  <c r="J23" i="10"/>
  <c r="J38" i="10" s="1"/>
  <c r="K23" i="10"/>
  <c r="K38" i="10" s="1"/>
  <c r="L23" i="10"/>
  <c r="L38" i="10" s="1"/>
  <c r="M23" i="10"/>
  <c r="M38" i="10" s="1"/>
  <c r="N23" i="10"/>
  <c r="N38" i="10" s="1"/>
  <c r="O23" i="10"/>
  <c r="O38" i="10" s="1"/>
  <c r="P23" i="10"/>
  <c r="P38" i="10" s="1"/>
  <c r="Q23" i="10"/>
  <c r="Q38" i="10" s="1"/>
  <c r="D22" i="10"/>
  <c r="D37" i="10" s="1"/>
  <c r="E22" i="10"/>
  <c r="E37" i="10" s="1"/>
  <c r="F22" i="10"/>
  <c r="F37" i="10" s="1"/>
  <c r="G22" i="10"/>
  <c r="G37" i="10" s="1"/>
  <c r="H22" i="10"/>
  <c r="H37" i="10" s="1"/>
  <c r="I22" i="10"/>
  <c r="I37" i="10" s="1"/>
  <c r="J22" i="10"/>
  <c r="J37" i="10" s="1"/>
  <c r="K22" i="10"/>
  <c r="K37" i="10" s="1"/>
  <c r="L22" i="10"/>
  <c r="L37" i="10" s="1"/>
  <c r="M22" i="10"/>
  <c r="M37" i="10" s="1"/>
  <c r="N22" i="10"/>
  <c r="N37" i="10" s="1"/>
  <c r="O22" i="10"/>
  <c r="O37" i="10" s="1"/>
  <c r="P22" i="10"/>
  <c r="P37" i="10" s="1"/>
  <c r="Q22" i="10"/>
  <c r="Q37" i="10" s="1"/>
  <c r="D21" i="10"/>
  <c r="D36" i="10" s="1"/>
  <c r="D39" i="10" s="1"/>
  <c r="E21" i="10"/>
  <c r="E36" i="10" s="1"/>
  <c r="E39" i="10" s="1"/>
  <c r="F21" i="10"/>
  <c r="F36" i="10" s="1"/>
  <c r="F39" i="10" s="1"/>
  <c r="G21" i="10"/>
  <c r="G36" i="10" s="1"/>
  <c r="G39" i="10" s="1"/>
  <c r="H21" i="10"/>
  <c r="H36" i="10" s="1"/>
  <c r="H39" i="10" s="1"/>
  <c r="I21" i="10"/>
  <c r="I36" i="10" s="1"/>
  <c r="J21" i="10"/>
  <c r="J36" i="10" s="1"/>
  <c r="K21" i="10"/>
  <c r="K36" i="10" s="1"/>
  <c r="L21" i="10"/>
  <c r="L36" i="10" s="1"/>
  <c r="M21" i="10"/>
  <c r="M36" i="10" s="1"/>
  <c r="N21" i="10"/>
  <c r="N36" i="10" s="1"/>
  <c r="O21" i="10"/>
  <c r="O36" i="10" s="1"/>
  <c r="P21" i="10"/>
  <c r="P36" i="10" s="1"/>
  <c r="Q21" i="10"/>
  <c r="Q36" i="10" s="1"/>
  <c r="D15" i="10"/>
  <c r="E15" i="10"/>
  <c r="F15" i="10"/>
  <c r="G15" i="10"/>
  <c r="H15" i="10"/>
  <c r="I15" i="10"/>
  <c r="J15" i="10"/>
  <c r="K15" i="10"/>
  <c r="L15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D9" i="10"/>
  <c r="E9" i="10"/>
  <c r="F9" i="10"/>
  <c r="G9" i="10"/>
  <c r="H9" i="10"/>
  <c r="I9" i="10"/>
  <c r="J9" i="10"/>
  <c r="K9" i="10"/>
  <c r="L9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D7" i="10"/>
  <c r="D3" i="11" s="1"/>
  <c r="D11" i="11" s="1"/>
  <c r="E7" i="10"/>
  <c r="E3" i="11" s="1"/>
  <c r="E11" i="11" s="1"/>
  <c r="F7" i="10"/>
  <c r="F3" i="11" s="1"/>
  <c r="G7" i="10"/>
  <c r="G3" i="11" s="1"/>
  <c r="G11" i="11" s="1"/>
  <c r="H7" i="10"/>
  <c r="H3" i="11" s="1"/>
  <c r="H11" i="11" s="1"/>
  <c r="I7" i="10"/>
  <c r="I3" i="11" s="1"/>
  <c r="I11" i="11" s="1"/>
  <c r="J7" i="10"/>
  <c r="J3" i="11" s="1"/>
  <c r="K7" i="10"/>
  <c r="K3" i="11" s="1"/>
  <c r="K11" i="11" s="1"/>
  <c r="L7" i="10"/>
  <c r="L3" i="11" s="1"/>
  <c r="M7" i="10"/>
  <c r="M3" i="11" s="1"/>
  <c r="N7" i="10"/>
  <c r="N3" i="11" s="1"/>
  <c r="O7" i="10"/>
  <c r="O3" i="11" s="1"/>
  <c r="P7" i="10"/>
  <c r="P3" i="11" s="1"/>
  <c r="Q7" i="10"/>
  <c r="Q3" i="11" s="1"/>
  <c r="C7" i="10"/>
  <c r="C3" i="11" s="1"/>
  <c r="C9" i="10"/>
  <c r="C14" i="10"/>
  <c r="C15" i="10"/>
  <c r="C21" i="10"/>
  <c r="C22" i="10"/>
  <c r="C23" i="10"/>
  <c r="C26" i="10"/>
  <c r="C27" i="10"/>
  <c r="C28" i="10"/>
  <c r="C31" i="10"/>
  <c r="C32" i="10"/>
  <c r="C33" i="10"/>
  <c r="C36" i="10"/>
  <c r="C37" i="10"/>
  <c r="C38" i="10"/>
  <c r="C39" i="10"/>
  <c r="D6" i="10"/>
  <c r="D6" i="11" s="1"/>
  <c r="E6" i="10"/>
  <c r="E6" i="11" s="1"/>
  <c r="F6" i="10"/>
  <c r="F6" i="11" s="1"/>
  <c r="G6" i="10"/>
  <c r="G6" i="11" s="1"/>
  <c r="H6" i="10"/>
  <c r="H6" i="11" s="1"/>
  <c r="I6" i="10"/>
  <c r="I6" i="11" s="1"/>
  <c r="J6" i="10"/>
  <c r="J6" i="11" s="1"/>
  <c r="K6" i="10"/>
  <c r="K6" i="11" s="1"/>
  <c r="L6" i="10"/>
  <c r="L6" i="11" s="1"/>
  <c r="M6" i="10"/>
  <c r="M6" i="11" s="1"/>
  <c r="N6" i="10"/>
  <c r="N6" i="11" s="1"/>
  <c r="O6" i="10"/>
  <c r="O6" i="11" s="1"/>
  <c r="P6" i="10"/>
  <c r="P6" i="11" s="1"/>
  <c r="Q6" i="10"/>
  <c r="Q6" i="11" s="1"/>
  <c r="Q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C6" i="10"/>
  <c r="C6" i="11" s="1"/>
  <c r="C5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C4" i="10"/>
  <c r="B1" i="10"/>
  <c r="B1" i="9"/>
  <c r="L2" i="10"/>
  <c r="M2" i="10" s="1"/>
  <c r="K2" i="10"/>
  <c r="J2" i="10"/>
  <c r="I2" i="10"/>
  <c r="H2" i="10"/>
  <c r="G2" i="10"/>
  <c r="F2" i="10"/>
  <c r="E2" i="10"/>
  <c r="D2" i="10"/>
  <c r="C2" i="10"/>
  <c r="B2" i="10"/>
  <c r="M75" i="9"/>
  <c r="M18" i="8"/>
  <c r="M55" i="9"/>
  <c r="M51" i="9"/>
  <c r="D95" i="9"/>
  <c r="E93" i="9"/>
  <c r="E95" i="9" s="1"/>
  <c r="F93" i="9" s="1"/>
  <c r="F95" i="9" s="1"/>
  <c r="G93" i="9" s="1"/>
  <c r="G95" i="9" s="1"/>
  <c r="H93" i="9" s="1"/>
  <c r="H95" i="9" s="1"/>
  <c r="I93" i="9" s="1"/>
  <c r="I95" i="9" s="1"/>
  <c r="J93" i="9" s="1"/>
  <c r="J95" i="9" s="1"/>
  <c r="K93" i="9" s="1"/>
  <c r="K95" i="9" s="1"/>
  <c r="L93" i="9" s="1"/>
  <c r="L95" i="9" s="1"/>
  <c r="M93" i="9" s="1"/>
  <c r="D93" i="9"/>
  <c r="C95" i="9"/>
  <c r="C94" i="9"/>
  <c r="N68" i="9"/>
  <c r="O68" i="9"/>
  <c r="P68" i="9"/>
  <c r="Q68" i="9"/>
  <c r="M68" i="9"/>
  <c r="N67" i="9"/>
  <c r="O67" i="9"/>
  <c r="P67" i="9"/>
  <c r="Q67" i="9"/>
  <c r="M67" i="9"/>
  <c r="O66" i="9"/>
  <c r="P66" i="9"/>
  <c r="Q66" i="9"/>
  <c r="C18" i="9"/>
  <c r="C36" i="8" s="1"/>
  <c r="B70" i="8"/>
  <c r="C66" i="8"/>
  <c r="C67" i="8" s="1"/>
  <c r="D66" i="8"/>
  <c r="D67" i="8" s="1"/>
  <c r="E66" i="8"/>
  <c r="F66" i="8"/>
  <c r="G66" i="8"/>
  <c r="H66" i="8"/>
  <c r="I66" i="8"/>
  <c r="J66" i="8"/>
  <c r="K66" i="8"/>
  <c r="L66" i="8"/>
  <c r="B66" i="8"/>
  <c r="C62" i="8"/>
  <c r="D62" i="8"/>
  <c r="E62" i="8"/>
  <c r="E63" i="8" s="1"/>
  <c r="F62" i="8"/>
  <c r="G62" i="8"/>
  <c r="H62" i="8"/>
  <c r="I62" i="8"/>
  <c r="J62" i="8"/>
  <c r="K62" i="8"/>
  <c r="L62" i="8"/>
  <c r="B62" i="8"/>
  <c r="C58" i="8"/>
  <c r="D58" i="8"/>
  <c r="E58" i="8"/>
  <c r="E59" i="8" s="1"/>
  <c r="F58" i="8"/>
  <c r="G58" i="8"/>
  <c r="H58" i="8"/>
  <c r="I58" i="8"/>
  <c r="J58" i="8"/>
  <c r="K58" i="8"/>
  <c r="L58" i="8"/>
  <c r="B58" i="8"/>
  <c r="M40" i="9"/>
  <c r="N40" i="9" s="1"/>
  <c r="O40" i="9" s="1"/>
  <c r="P40" i="9" s="1"/>
  <c r="Q40" i="9" s="1"/>
  <c r="C54" i="8"/>
  <c r="C55" i="8" s="1"/>
  <c r="D54" i="8"/>
  <c r="D55" i="8" s="1"/>
  <c r="E54" i="8"/>
  <c r="E55" i="8" s="1"/>
  <c r="F54" i="8"/>
  <c r="F55" i="8" s="1"/>
  <c r="G54" i="8"/>
  <c r="G55" i="8" s="1"/>
  <c r="H54" i="8"/>
  <c r="H55" i="8" s="1"/>
  <c r="I54" i="8"/>
  <c r="I55" i="8" s="1"/>
  <c r="J54" i="8"/>
  <c r="J55" i="8" s="1"/>
  <c r="K54" i="8"/>
  <c r="K55" i="8" s="1"/>
  <c r="L54" i="8"/>
  <c r="L55" i="8" s="1"/>
  <c r="B54" i="8"/>
  <c r="T20" i="8"/>
  <c r="U20" i="8"/>
  <c r="V20" i="8"/>
  <c r="W20" i="8"/>
  <c r="S20" i="8"/>
  <c r="C28" i="8"/>
  <c r="D28" i="8"/>
  <c r="D30" i="8" s="1"/>
  <c r="E28" i="8"/>
  <c r="E30" i="8" s="1"/>
  <c r="F28" i="8"/>
  <c r="F30" i="8" s="1"/>
  <c r="G28" i="8"/>
  <c r="G30" i="8" s="1"/>
  <c r="H28" i="8"/>
  <c r="H30" i="8" s="1"/>
  <c r="I28" i="8"/>
  <c r="I30" i="8" s="1"/>
  <c r="J28" i="8"/>
  <c r="K28" i="8"/>
  <c r="L28" i="8"/>
  <c r="S19" i="8" s="1"/>
  <c r="B28" i="8"/>
  <c r="B49" i="8"/>
  <c r="S11" i="8"/>
  <c r="M29" i="9"/>
  <c r="N29" i="9" s="1"/>
  <c r="O29" i="9" s="1"/>
  <c r="P29" i="9" s="1"/>
  <c r="Q29" i="9" s="1"/>
  <c r="B1" i="8"/>
  <c r="B40" i="8"/>
  <c r="R32" i="8"/>
  <c r="D24" i="8"/>
  <c r="E24" i="8"/>
  <c r="F24" i="8"/>
  <c r="G24" i="8"/>
  <c r="H24" i="8"/>
  <c r="I24" i="8"/>
  <c r="J24" i="8"/>
  <c r="K24" i="8"/>
  <c r="L24" i="8"/>
  <c r="C24" i="8"/>
  <c r="B24" i="8"/>
  <c r="E18" i="8"/>
  <c r="F18" i="8"/>
  <c r="G18" i="8"/>
  <c r="H18" i="8"/>
  <c r="I18" i="8"/>
  <c r="J18" i="8"/>
  <c r="K18" i="8"/>
  <c r="L18" i="8"/>
  <c r="B66" i="9"/>
  <c r="C66" i="9"/>
  <c r="D66" i="9"/>
  <c r="E66" i="9"/>
  <c r="F66" i="9"/>
  <c r="G66" i="9"/>
  <c r="H66" i="9"/>
  <c r="I66" i="9"/>
  <c r="J66" i="9"/>
  <c r="K66" i="9"/>
  <c r="L66" i="9"/>
  <c r="B67" i="9"/>
  <c r="C67" i="9"/>
  <c r="D67" i="9"/>
  <c r="E67" i="9"/>
  <c r="F67" i="9"/>
  <c r="G67" i="9"/>
  <c r="H67" i="9"/>
  <c r="I67" i="9"/>
  <c r="J67" i="9"/>
  <c r="K67" i="9"/>
  <c r="L67" i="9"/>
  <c r="B68" i="9"/>
  <c r="C68" i="9"/>
  <c r="D68" i="9"/>
  <c r="E68" i="9"/>
  <c r="F68" i="9"/>
  <c r="G68" i="9"/>
  <c r="H68" i="9"/>
  <c r="I68" i="9"/>
  <c r="J68" i="9"/>
  <c r="K68" i="9"/>
  <c r="L68" i="9"/>
  <c r="B69" i="9"/>
  <c r="C69" i="9"/>
  <c r="D69" i="9"/>
  <c r="E69" i="9"/>
  <c r="F69" i="9"/>
  <c r="G69" i="9"/>
  <c r="H69" i="9"/>
  <c r="I69" i="9"/>
  <c r="J69" i="9"/>
  <c r="K69" i="9"/>
  <c r="L69" i="9"/>
  <c r="B70" i="9"/>
  <c r="C70" i="9"/>
  <c r="D70" i="9"/>
  <c r="E70" i="9"/>
  <c r="F70" i="9"/>
  <c r="G70" i="9"/>
  <c r="H70" i="9"/>
  <c r="I70" i="9"/>
  <c r="J70" i="9"/>
  <c r="K70" i="9"/>
  <c r="L70" i="9"/>
  <c r="B71" i="9"/>
  <c r="C71" i="9"/>
  <c r="D71" i="9"/>
  <c r="E71" i="9"/>
  <c r="F71" i="9"/>
  <c r="G71" i="9"/>
  <c r="H71" i="9"/>
  <c r="I71" i="9"/>
  <c r="J71" i="9"/>
  <c r="K71" i="9"/>
  <c r="L71" i="9"/>
  <c r="B72" i="9"/>
  <c r="C72" i="9"/>
  <c r="D72" i="9"/>
  <c r="E72" i="9"/>
  <c r="F72" i="9"/>
  <c r="G72" i="9"/>
  <c r="H72" i="9"/>
  <c r="I72" i="9"/>
  <c r="J72" i="9"/>
  <c r="K72" i="9"/>
  <c r="L72" i="9"/>
  <c r="B74" i="9"/>
  <c r="B75" i="9"/>
  <c r="C75" i="9"/>
  <c r="D75" i="9"/>
  <c r="E75" i="9"/>
  <c r="F75" i="9"/>
  <c r="G75" i="9"/>
  <c r="H75" i="9"/>
  <c r="I75" i="9"/>
  <c r="J75" i="9"/>
  <c r="K75" i="9"/>
  <c r="L75" i="9"/>
  <c r="B76" i="9"/>
  <c r="C76" i="9"/>
  <c r="D76" i="9"/>
  <c r="E76" i="9"/>
  <c r="F76" i="9"/>
  <c r="G76" i="9"/>
  <c r="H76" i="9"/>
  <c r="I76" i="9"/>
  <c r="J76" i="9"/>
  <c r="K76" i="9"/>
  <c r="L76" i="9"/>
  <c r="B77" i="9"/>
  <c r="C77" i="9"/>
  <c r="D77" i="9"/>
  <c r="E77" i="9"/>
  <c r="F77" i="9"/>
  <c r="G77" i="9"/>
  <c r="H77" i="9"/>
  <c r="I77" i="9"/>
  <c r="J77" i="9"/>
  <c r="K77" i="9"/>
  <c r="L77" i="9"/>
  <c r="B78" i="9"/>
  <c r="C78" i="9"/>
  <c r="D78" i="9"/>
  <c r="E78" i="9"/>
  <c r="F78" i="9"/>
  <c r="G78" i="9"/>
  <c r="H78" i="9"/>
  <c r="I78" i="9"/>
  <c r="J78" i="9"/>
  <c r="K78" i="9"/>
  <c r="L78" i="9"/>
  <c r="M78" i="9" s="1"/>
  <c r="N78" i="9" s="1"/>
  <c r="O78" i="9" s="1"/>
  <c r="P78" i="9" s="1"/>
  <c r="Q78" i="9" s="1"/>
  <c r="B79" i="9"/>
  <c r="C79" i="9"/>
  <c r="D79" i="9"/>
  <c r="E79" i="9"/>
  <c r="F79" i="9"/>
  <c r="G79" i="9"/>
  <c r="H79" i="9"/>
  <c r="I79" i="9"/>
  <c r="J79" i="9"/>
  <c r="K79" i="9"/>
  <c r="L79" i="9"/>
  <c r="B80" i="9"/>
  <c r="C80" i="9"/>
  <c r="D80" i="9"/>
  <c r="E80" i="9"/>
  <c r="F80" i="9"/>
  <c r="G80" i="9"/>
  <c r="H80" i="9"/>
  <c r="I80" i="9"/>
  <c r="J80" i="9"/>
  <c r="K80" i="9"/>
  <c r="L80" i="9"/>
  <c r="M80" i="9" s="1"/>
  <c r="N80" i="9" s="1"/>
  <c r="O80" i="9" s="1"/>
  <c r="P80" i="9" s="1"/>
  <c r="Q80" i="9" s="1"/>
  <c r="B81" i="9"/>
  <c r="C81" i="9"/>
  <c r="D81" i="9"/>
  <c r="E81" i="9"/>
  <c r="F81" i="9"/>
  <c r="G81" i="9"/>
  <c r="H81" i="9"/>
  <c r="I81" i="9"/>
  <c r="J81" i="9"/>
  <c r="K81" i="9"/>
  <c r="L81" i="9"/>
  <c r="M81" i="9" s="1"/>
  <c r="N81" i="9" s="1"/>
  <c r="O81" i="9" s="1"/>
  <c r="P81" i="9" s="1"/>
  <c r="Q81" i="9" s="1"/>
  <c r="B82" i="9"/>
  <c r="C82" i="9"/>
  <c r="D82" i="9"/>
  <c r="E82" i="9"/>
  <c r="F82" i="9"/>
  <c r="G82" i="9"/>
  <c r="H82" i="9"/>
  <c r="I82" i="9"/>
  <c r="J82" i="9"/>
  <c r="K82" i="9"/>
  <c r="L82" i="9"/>
  <c r="B83" i="9"/>
  <c r="C83" i="9"/>
  <c r="D83" i="9"/>
  <c r="E83" i="9"/>
  <c r="F83" i="9"/>
  <c r="G83" i="9"/>
  <c r="H83" i="9"/>
  <c r="I83" i="9"/>
  <c r="J83" i="9"/>
  <c r="K83" i="9"/>
  <c r="L83" i="9"/>
  <c r="B85" i="9"/>
  <c r="B86" i="9"/>
  <c r="C86" i="9"/>
  <c r="D86" i="9"/>
  <c r="E86" i="9"/>
  <c r="F86" i="9"/>
  <c r="G86" i="9"/>
  <c r="H86" i="9"/>
  <c r="I86" i="9"/>
  <c r="J86" i="9"/>
  <c r="K86" i="9"/>
  <c r="L86" i="9"/>
  <c r="B87" i="9"/>
  <c r="C87" i="9"/>
  <c r="D87" i="9"/>
  <c r="E87" i="9"/>
  <c r="F87" i="9"/>
  <c r="G87" i="9"/>
  <c r="H87" i="9"/>
  <c r="I87" i="9"/>
  <c r="J87" i="9"/>
  <c r="K87" i="9"/>
  <c r="L87" i="9"/>
  <c r="M87" i="9" s="1"/>
  <c r="N87" i="9" s="1"/>
  <c r="O87" i="9" s="1"/>
  <c r="P87" i="9" s="1"/>
  <c r="Q87" i="9" s="1"/>
  <c r="B88" i="9"/>
  <c r="B45" i="8" s="1"/>
  <c r="C88" i="9"/>
  <c r="C45" i="8" s="1"/>
  <c r="D88" i="9"/>
  <c r="D45" i="8" s="1"/>
  <c r="E88" i="9"/>
  <c r="E45" i="8" s="1"/>
  <c r="F88" i="9"/>
  <c r="F45" i="8" s="1"/>
  <c r="G88" i="9"/>
  <c r="G45" i="8" s="1"/>
  <c r="H88" i="9"/>
  <c r="H45" i="8" s="1"/>
  <c r="I88" i="9"/>
  <c r="I45" i="8" s="1"/>
  <c r="J88" i="9"/>
  <c r="J45" i="8" s="1"/>
  <c r="K88" i="9"/>
  <c r="K45" i="8" s="1"/>
  <c r="L88" i="9"/>
  <c r="L45" i="8" s="1"/>
  <c r="B89" i="9"/>
  <c r="C89" i="9"/>
  <c r="D89" i="9"/>
  <c r="E89" i="9"/>
  <c r="F89" i="9"/>
  <c r="G89" i="9"/>
  <c r="H89" i="9"/>
  <c r="I89" i="9"/>
  <c r="J89" i="9"/>
  <c r="K89" i="9"/>
  <c r="L89" i="9"/>
  <c r="B90" i="9"/>
  <c r="C90" i="9"/>
  <c r="D90" i="9"/>
  <c r="E90" i="9"/>
  <c r="F90" i="9"/>
  <c r="G90" i="9"/>
  <c r="H90" i="9"/>
  <c r="I90" i="9"/>
  <c r="J90" i="9"/>
  <c r="K90" i="9"/>
  <c r="L90" i="9"/>
  <c r="B91" i="9"/>
  <c r="C91" i="9"/>
  <c r="D91" i="9"/>
  <c r="E91" i="9"/>
  <c r="F91" i="9"/>
  <c r="G91" i="9"/>
  <c r="H91" i="9"/>
  <c r="I91" i="9"/>
  <c r="J91" i="9"/>
  <c r="K91" i="9"/>
  <c r="L91" i="9"/>
  <c r="B94" i="9"/>
  <c r="D94" i="9"/>
  <c r="E94" i="9"/>
  <c r="F94" i="9"/>
  <c r="G94" i="9"/>
  <c r="H94" i="9"/>
  <c r="I94" i="9"/>
  <c r="J94" i="9"/>
  <c r="K94" i="9"/>
  <c r="L94" i="9"/>
  <c r="C65" i="9"/>
  <c r="D65" i="9"/>
  <c r="E65" i="9"/>
  <c r="F65" i="9"/>
  <c r="G65" i="9"/>
  <c r="H65" i="9"/>
  <c r="I65" i="9"/>
  <c r="J65" i="9"/>
  <c r="K65" i="9"/>
  <c r="L65" i="9"/>
  <c r="B65" i="9"/>
  <c r="B64" i="9"/>
  <c r="D30" i="7"/>
  <c r="E30" i="7"/>
  <c r="F30" i="7"/>
  <c r="G30" i="7"/>
  <c r="H30" i="7"/>
  <c r="I30" i="7"/>
  <c r="J30" i="7"/>
  <c r="K30" i="7"/>
  <c r="L30" i="7"/>
  <c r="C30" i="7"/>
  <c r="D22" i="7"/>
  <c r="E22" i="7"/>
  <c r="F22" i="7"/>
  <c r="G22" i="7"/>
  <c r="H22" i="7"/>
  <c r="I22" i="7"/>
  <c r="J22" i="7"/>
  <c r="K22" i="7"/>
  <c r="L22" i="7"/>
  <c r="C22" i="7"/>
  <c r="D9" i="7"/>
  <c r="D11" i="7" s="1"/>
  <c r="E9" i="7"/>
  <c r="E11" i="7" s="1"/>
  <c r="F9" i="7"/>
  <c r="F11" i="7" s="1"/>
  <c r="G9" i="7"/>
  <c r="G11" i="7" s="1"/>
  <c r="H9" i="7"/>
  <c r="H11" i="7" s="1"/>
  <c r="I9" i="7"/>
  <c r="I11" i="7" s="1"/>
  <c r="J9" i="7"/>
  <c r="J11" i="7" s="1"/>
  <c r="K9" i="7"/>
  <c r="K11" i="7" s="1"/>
  <c r="L9" i="7"/>
  <c r="L11" i="7" s="1"/>
  <c r="C9" i="7"/>
  <c r="C11" i="7" s="1"/>
  <c r="B63" i="9"/>
  <c r="C57" i="9"/>
  <c r="D57" i="9"/>
  <c r="E57" i="9"/>
  <c r="F57" i="9"/>
  <c r="G57" i="9"/>
  <c r="H57" i="9"/>
  <c r="I57" i="9"/>
  <c r="J57" i="9"/>
  <c r="K57" i="9"/>
  <c r="L57" i="9"/>
  <c r="C56" i="9"/>
  <c r="D56" i="9"/>
  <c r="E56" i="9"/>
  <c r="F56" i="9"/>
  <c r="G56" i="9"/>
  <c r="H56" i="9"/>
  <c r="I56" i="9"/>
  <c r="J56" i="9"/>
  <c r="K56" i="9"/>
  <c r="L56" i="9"/>
  <c r="M56" i="9" s="1"/>
  <c r="C55" i="9"/>
  <c r="D55" i="9"/>
  <c r="E55" i="9"/>
  <c r="F55" i="9"/>
  <c r="G55" i="9"/>
  <c r="H55" i="9"/>
  <c r="I55" i="9"/>
  <c r="J55" i="9"/>
  <c r="K55" i="9"/>
  <c r="L55" i="9"/>
  <c r="B56" i="9"/>
  <c r="B57" i="9"/>
  <c r="B55" i="9"/>
  <c r="C50" i="9"/>
  <c r="D50" i="9"/>
  <c r="E50" i="9"/>
  <c r="F50" i="9"/>
  <c r="G50" i="9"/>
  <c r="H50" i="9"/>
  <c r="I50" i="9"/>
  <c r="J50" i="9"/>
  <c r="K50" i="9"/>
  <c r="L50" i="9"/>
  <c r="C49" i="9"/>
  <c r="D49" i="9"/>
  <c r="E49" i="9"/>
  <c r="F49" i="9"/>
  <c r="G49" i="9"/>
  <c r="H49" i="9"/>
  <c r="I49" i="9"/>
  <c r="J49" i="9"/>
  <c r="K49" i="9"/>
  <c r="L49" i="9"/>
  <c r="C48" i="9"/>
  <c r="C18" i="8" s="1"/>
  <c r="D48" i="9"/>
  <c r="D18" i="8" s="1"/>
  <c r="E48" i="9"/>
  <c r="F48" i="9"/>
  <c r="G48" i="9"/>
  <c r="H48" i="9"/>
  <c r="I48" i="9"/>
  <c r="J48" i="9"/>
  <c r="K48" i="9"/>
  <c r="L48" i="9"/>
  <c r="B49" i="9"/>
  <c r="B50" i="9"/>
  <c r="B51" i="9"/>
  <c r="B48" i="9"/>
  <c r="B18" i="8" s="1"/>
  <c r="D40" i="9"/>
  <c r="E40" i="9"/>
  <c r="F40" i="9"/>
  <c r="G40" i="9"/>
  <c r="H40" i="9"/>
  <c r="I40" i="9"/>
  <c r="J40" i="9"/>
  <c r="K40" i="9"/>
  <c r="L40" i="9"/>
  <c r="C40" i="9"/>
  <c r="D39" i="9"/>
  <c r="D41" i="9" s="1"/>
  <c r="E39" i="9"/>
  <c r="E41" i="9" s="1"/>
  <c r="F39" i="9"/>
  <c r="F41" i="9" s="1"/>
  <c r="G39" i="9"/>
  <c r="G41" i="9" s="1"/>
  <c r="H39" i="9"/>
  <c r="H41" i="9" s="1"/>
  <c r="I39" i="9"/>
  <c r="I41" i="9" s="1"/>
  <c r="J39" i="9"/>
  <c r="J41" i="9" s="1"/>
  <c r="K39" i="9"/>
  <c r="K41" i="9" s="1"/>
  <c r="L39" i="9"/>
  <c r="L41" i="9" s="1"/>
  <c r="C39" i="9"/>
  <c r="B40" i="9"/>
  <c r="B39" i="9"/>
  <c r="D34" i="9"/>
  <c r="E34" i="9"/>
  <c r="F34" i="9"/>
  <c r="G34" i="9"/>
  <c r="H34" i="9"/>
  <c r="I34" i="9"/>
  <c r="J34" i="9"/>
  <c r="K34" i="9"/>
  <c r="L34" i="9"/>
  <c r="C34" i="9"/>
  <c r="B35" i="9"/>
  <c r="B34" i="9"/>
  <c r="D30" i="9"/>
  <c r="E30" i="9"/>
  <c r="F30" i="9"/>
  <c r="G30" i="9"/>
  <c r="H30" i="9"/>
  <c r="I30" i="9"/>
  <c r="J30" i="9"/>
  <c r="K30" i="9"/>
  <c r="L30" i="9"/>
  <c r="C30" i="9"/>
  <c r="D29" i="9"/>
  <c r="E29" i="9"/>
  <c r="F29" i="9"/>
  <c r="G29" i="9"/>
  <c r="H29" i="9"/>
  <c r="I29" i="9"/>
  <c r="J29" i="9"/>
  <c r="J31" i="9" s="1"/>
  <c r="K29" i="9"/>
  <c r="K31" i="9" s="1"/>
  <c r="L29" i="9"/>
  <c r="L31" i="9" s="1"/>
  <c r="C29" i="9"/>
  <c r="C31" i="9" s="1"/>
  <c r="B30" i="9"/>
  <c r="B29" i="9"/>
  <c r="B27" i="9"/>
  <c r="B6" i="8"/>
  <c r="L2" i="8"/>
  <c r="M2" i="8" s="1"/>
  <c r="N2" i="8" s="1"/>
  <c r="O2" i="8" s="1"/>
  <c r="P2" i="8" s="1"/>
  <c r="Q2" i="8" s="1"/>
  <c r="K2" i="8"/>
  <c r="J2" i="8"/>
  <c r="I2" i="8"/>
  <c r="H2" i="8"/>
  <c r="G2" i="8"/>
  <c r="F2" i="8"/>
  <c r="E2" i="8"/>
  <c r="D2" i="8"/>
  <c r="C2" i="8"/>
  <c r="B2" i="8"/>
  <c r="D18" i="9"/>
  <c r="D36" i="8" s="1"/>
  <c r="E18" i="9"/>
  <c r="E36" i="8" s="1"/>
  <c r="F18" i="9"/>
  <c r="F36" i="8" s="1"/>
  <c r="G18" i="9"/>
  <c r="G36" i="8" s="1"/>
  <c r="H18" i="9"/>
  <c r="H36" i="8" s="1"/>
  <c r="I18" i="9"/>
  <c r="I36" i="8" s="1"/>
  <c r="J18" i="9"/>
  <c r="J36" i="8" s="1"/>
  <c r="K18" i="9"/>
  <c r="K36" i="8" s="1"/>
  <c r="L18" i="9"/>
  <c r="L36" i="8" s="1"/>
  <c r="B18" i="9"/>
  <c r="B36" i="8" s="1"/>
  <c r="C22" i="9"/>
  <c r="C41" i="8" s="1"/>
  <c r="D22" i="9"/>
  <c r="D41" i="8" s="1"/>
  <c r="E22" i="9"/>
  <c r="E41" i="8" s="1"/>
  <c r="F22" i="9"/>
  <c r="F41" i="8" s="1"/>
  <c r="G22" i="9"/>
  <c r="G41" i="8" s="1"/>
  <c r="H22" i="9"/>
  <c r="H41" i="8" s="1"/>
  <c r="I22" i="9"/>
  <c r="I41" i="8" s="1"/>
  <c r="J22" i="9"/>
  <c r="J41" i="8" s="1"/>
  <c r="K22" i="9"/>
  <c r="K41" i="8" s="1"/>
  <c r="L22" i="9"/>
  <c r="L41" i="8" s="1"/>
  <c r="B22" i="9"/>
  <c r="B41" i="8" s="1"/>
  <c r="C17" i="9"/>
  <c r="C29" i="8" s="1"/>
  <c r="D17" i="9"/>
  <c r="D29" i="8" s="1"/>
  <c r="E17" i="9"/>
  <c r="E29" i="8" s="1"/>
  <c r="F17" i="9"/>
  <c r="F29" i="8" s="1"/>
  <c r="G17" i="9"/>
  <c r="G29" i="8" s="1"/>
  <c r="H17" i="9"/>
  <c r="H29" i="8" s="1"/>
  <c r="I17" i="9"/>
  <c r="I29" i="8" s="1"/>
  <c r="J17" i="9"/>
  <c r="J29" i="8" s="1"/>
  <c r="K17" i="9"/>
  <c r="K29" i="8" s="1"/>
  <c r="L17" i="9"/>
  <c r="L29" i="8" s="1"/>
  <c r="C13" i="9"/>
  <c r="C19" i="8" s="1"/>
  <c r="C20" i="8" s="1"/>
  <c r="D13" i="9"/>
  <c r="D19" i="8" s="1"/>
  <c r="D20" i="8" s="1"/>
  <c r="E13" i="9"/>
  <c r="E19" i="8" s="1"/>
  <c r="F13" i="9"/>
  <c r="F19" i="8" s="1"/>
  <c r="G13" i="9"/>
  <c r="G19" i="8" s="1"/>
  <c r="H13" i="9"/>
  <c r="H19" i="8" s="1"/>
  <c r="I13" i="9"/>
  <c r="I19" i="8" s="1"/>
  <c r="J13" i="9"/>
  <c r="J19" i="8" s="1"/>
  <c r="K13" i="9"/>
  <c r="K19" i="8" s="1"/>
  <c r="L13" i="9"/>
  <c r="L19" i="8" s="1"/>
  <c r="B17" i="9"/>
  <c r="B29" i="8" s="1"/>
  <c r="B13" i="9"/>
  <c r="B19" i="8" s="1"/>
  <c r="C9" i="9"/>
  <c r="C14" i="8" s="1"/>
  <c r="D9" i="9"/>
  <c r="D14" i="8" s="1"/>
  <c r="E9" i="9"/>
  <c r="E14" i="8" s="1"/>
  <c r="F9" i="9"/>
  <c r="F14" i="8" s="1"/>
  <c r="G9" i="9"/>
  <c r="G14" i="8" s="1"/>
  <c r="H9" i="9"/>
  <c r="H14" i="8" s="1"/>
  <c r="I9" i="9"/>
  <c r="I14" i="8" s="1"/>
  <c r="J9" i="9"/>
  <c r="J14" i="8" s="1"/>
  <c r="K9" i="9"/>
  <c r="K14" i="8" s="1"/>
  <c r="L9" i="9"/>
  <c r="L14" i="8" s="1"/>
  <c r="C8" i="9"/>
  <c r="C10" i="8" s="1"/>
  <c r="D8" i="9"/>
  <c r="D10" i="8" s="1"/>
  <c r="E8" i="9"/>
  <c r="E10" i="8" s="1"/>
  <c r="F8" i="9"/>
  <c r="F10" i="8" s="1"/>
  <c r="G8" i="9"/>
  <c r="G10" i="8" s="1"/>
  <c r="H8" i="9"/>
  <c r="H10" i="8" s="1"/>
  <c r="I8" i="9"/>
  <c r="I10" i="8" s="1"/>
  <c r="J8" i="9"/>
  <c r="J10" i="8" s="1"/>
  <c r="K8" i="9"/>
  <c r="K10" i="8" s="1"/>
  <c r="L8" i="9"/>
  <c r="L10" i="8" s="1"/>
  <c r="B9" i="9"/>
  <c r="B14" i="8" s="1"/>
  <c r="B8" i="9"/>
  <c r="B10" i="8" s="1"/>
  <c r="D4" i="9"/>
  <c r="D6" i="8" s="1"/>
  <c r="E4" i="9"/>
  <c r="E6" i="8" s="1"/>
  <c r="F4" i="9"/>
  <c r="F6" i="8" s="1"/>
  <c r="G4" i="9"/>
  <c r="G6" i="8" s="1"/>
  <c r="H4" i="9"/>
  <c r="H6" i="8" s="1"/>
  <c r="I4" i="9"/>
  <c r="I6" i="8" s="1"/>
  <c r="J4" i="9"/>
  <c r="J6" i="8" s="1"/>
  <c r="K4" i="9"/>
  <c r="K6" i="8" s="1"/>
  <c r="L4" i="9"/>
  <c r="L6" i="8" s="1"/>
  <c r="C4" i="9"/>
  <c r="C6" i="8" s="1"/>
  <c r="C3" i="9"/>
  <c r="D3" i="9"/>
  <c r="E3" i="9"/>
  <c r="E3" i="8" s="1"/>
  <c r="F3" i="9"/>
  <c r="G3" i="9"/>
  <c r="H3" i="9"/>
  <c r="I3" i="9"/>
  <c r="J3" i="9"/>
  <c r="K3" i="9"/>
  <c r="L3" i="9"/>
  <c r="B3" i="9"/>
  <c r="B3" i="8" s="1"/>
  <c r="K2" i="9"/>
  <c r="L2" i="9"/>
  <c r="M2" i="9" s="1"/>
  <c r="N2" i="9" s="1"/>
  <c r="O2" i="9" s="1"/>
  <c r="P2" i="9" s="1"/>
  <c r="Q2" i="9" s="1"/>
  <c r="I2" i="9"/>
  <c r="J2" i="9"/>
  <c r="C2" i="9"/>
  <c r="D2" i="9"/>
  <c r="E2" i="9"/>
  <c r="F2" i="9"/>
  <c r="G2" i="9"/>
  <c r="H2" i="9"/>
  <c r="B2" i="9"/>
  <c r="B6" i="6"/>
  <c r="E1" i="6"/>
  <c r="E14" i="11" l="1"/>
  <c r="I14" i="11"/>
  <c r="G14" i="11"/>
  <c r="D14" i="11"/>
  <c r="K14" i="11"/>
  <c r="I39" i="10"/>
  <c r="J39" i="10"/>
  <c r="K39" i="10"/>
  <c r="L39" i="10"/>
  <c r="M39" i="10"/>
  <c r="N39" i="10"/>
  <c r="O39" i="10"/>
  <c r="P39" i="10"/>
  <c r="Q39" i="10"/>
  <c r="D44" i="10"/>
  <c r="F44" i="10"/>
  <c r="G44" i="10"/>
  <c r="H44" i="10"/>
  <c r="I44" i="10"/>
  <c r="J44" i="10"/>
  <c r="L44" i="10"/>
  <c r="H14" i="11"/>
  <c r="E44" i="10"/>
  <c r="K44" i="10"/>
  <c r="N2" i="10"/>
  <c r="M33" i="10"/>
  <c r="M31" i="10"/>
  <c r="M42" i="10"/>
  <c r="M43" i="10" s="1"/>
  <c r="M44" i="10" s="1"/>
  <c r="F11" i="11"/>
  <c r="J11" i="11"/>
  <c r="L11" i="11"/>
  <c r="G20" i="13"/>
  <c r="C14" i="13"/>
  <c r="G21" i="13" s="1"/>
  <c r="Q10" i="14"/>
  <c r="Q15" i="14"/>
  <c r="Q14" i="14"/>
  <c r="Q13" i="14"/>
  <c r="Q12" i="14"/>
  <c r="Q11" i="14"/>
  <c r="O8" i="14"/>
  <c r="P8" i="14"/>
  <c r="N8" i="14"/>
  <c r="N7" i="14"/>
  <c r="P7" i="14"/>
  <c r="O7" i="14"/>
  <c r="O6" i="14"/>
  <c r="P6" i="14"/>
  <c r="N6" i="14"/>
  <c r="O5" i="14"/>
  <c r="P5" i="14"/>
  <c r="N5" i="14"/>
  <c r="N4" i="14"/>
  <c r="P4" i="14"/>
  <c r="O4" i="14"/>
  <c r="C14" i="11"/>
  <c r="C11" i="11"/>
  <c r="C44" i="10"/>
  <c r="L36" i="9"/>
  <c r="L45" i="9" s="1"/>
  <c r="M32" i="10"/>
  <c r="Q32" i="10"/>
  <c r="P32" i="10"/>
  <c r="O32" i="10"/>
  <c r="N32" i="10"/>
  <c r="J30" i="8"/>
  <c r="E67" i="8"/>
  <c r="G67" i="8"/>
  <c r="I67" i="8"/>
  <c r="K67" i="8"/>
  <c r="C30" i="8"/>
  <c r="K30" i="8"/>
  <c r="L30" i="8"/>
  <c r="F67" i="8"/>
  <c r="H67" i="8"/>
  <c r="J67" i="8"/>
  <c r="L67" i="8"/>
  <c r="T21" i="8"/>
  <c r="T22" i="8" s="1"/>
  <c r="U21" i="8"/>
  <c r="U22" i="8" s="1"/>
  <c r="W21" i="8"/>
  <c r="W22" i="8" s="1"/>
  <c r="V21" i="8"/>
  <c r="V22" i="8" s="1"/>
  <c r="S21" i="8"/>
  <c r="E37" i="8"/>
  <c r="E20" i="8"/>
  <c r="F20" i="8"/>
  <c r="G20" i="8"/>
  <c r="H20" i="8"/>
  <c r="I20" i="8"/>
  <c r="J20" i="8"/>
  <c r="K20" i="8"/>
  <c r="L20" i="8"/>
  <c r="C68" i="8"/>
  <c r="C56" i="8"/>
  <c r="C31" i="8"/>
  <c r="L43" i="9"/>
  <c r="N56" i="9"/>
  <c r="E25" i="8"/>
  <c r="S4" i="8"/>
  <c r="C21" i="8"/>
  <c r="M19" i="8" s="1"/>
  <c r="H36" i="9"/>
  <c r="H43" i="9" s="1"/>
  <c r="I36" i="9"/>
  <c r="I43" i="9" s="1"/>
  <c r="J36" i="9"/>
  <c r="K36" i="9"/>
  <c r="D36" i="9"/>
  <c r="D43" i="9" s="1"/>
  <c r="E36" i="9"/>
  <c r="E43" i="9" s="1"/>
  <c r="F36" i="9"/>
  <c r="F43" i="9" s="1"/>
  <c r="G36" i="9"/>
  <c r="G43" i="9" s="1"/>
  <c r="D31" i="9"/>
  <c r="E31" i="9"/>
  <c r="F31" i="9"/>
  <c r="F45" i="9" s="1"/>
  <c r="G31" i="9"/>
  <c r="G45" i="9" s="1"/>
  <c r="H31" i="9"/>
  <c r="I31" i="9"/>
  <c r="C51" i="9"/>
  <c r="C58" i="9"/>
  <c r="D51" i="9"/>
  <c r="D58" i="9"/>
  <c r="E51" i="9"/>
  <c r="E58" i="9"/>
  <c r="F51" i="9"/>
  <c r="F58" i="9"/>
  <c r="G58" i="9"/>
  <c r="G51" i="9"/>
  <c r="H51" i="9"/>
  <c r="H58" i="9"/>
  <c r="I51" i="9"/>
  <c r="I58" i="9"/>
  <c r="J51" i="9"/>
  <c r="J58" i="9"/>
  <c r="K58" i="9"/>
  <c r="K51" i="9"/>
  <c r="L51" i="9"/>
  <c r="L58" i="9"/>
  <c r="C41" i="9"/>
  <c r="C35" i="9"/>
  <c r="C5" i="9"/>
  <c r="C3" i="8"/>
  <c r="D5" i="9"/>
  <c r="D3" i="8"/>
  <c r="F5" i="9"/>
  <c r="F3" i="8"/>
  <c r="G5" i="9"/>
  <c r="G3" i="8"/>
  <c r="H5" i="9"/>
  <c r="H3" i="8"/>
  <c r="I5" i="9"/>
  <c r="I3" i="8"/>
  <c r="J5" i="9"/>
  <c r="J3" i="8"/>
  <c r="K5" i="9"/>
  <c r="K3" i="8"/>
  <c r="L5" i="9"/>
  <c r="L6" i="9" s="1"/>
  <c r="L3" i="8"/>
  <c r="E15" i="8"/>
  <c r="E11" i="8"/>
  <c r="E7" i="8"/>
  <c r="E5" i="9"/>
  <c r="L10" i="9"/>
  <c r="N42" i="10" l="1"/>
  <c r="N43" i="10" s="1"/>
  <c r="N44" i="10" s="1"/>
  <c r="N31" i="10"/>
  <c r="N33" i="10"/>
  <c r="O2" i="10"/>
  <c r="H18" i="13"/>
  <c r="I18" i="13" s="1"/>
  <c r="H17" i="13"/>
  <c r="I17" i="13" s="1"/>
  <c r="H19" i="13"/>
  <c r="I19" i="13" s="1"/>
  <c r="H20" i="13"/>
  <c r="H16" i="13"/>
  <c r="I16" i="13" s="1"/>
  <c r="N10" i="14"/>
  <c r="N15" i="14"/>
  <c r="N14" i="14"/>
  <c r="N13" i="14"/>
  <c r="N12" i="14"/>
  <c r="N11" i="14"/>
  <c r="P10" i="14"/>
  <c r="P15" i="14"/>
  <c r="P14" i="14"/>
  <c r="P13" i="14"/>
  <c r="P12" i="14"/>
  <c r="P11" i="14"/>
  <c r="O10" i="14"/>
  <c r="O15" i="14"/>
  <c r="O14" i="14"/>
  <c r="O13" i="14"/>
  <c r="O12" i="14"/>
  <c r="O11" i="14"/>
  <c r="S22" i="8"/>
  <c r="S23" i="8" s="1"/>
  <c r="H45" i="9"/>
  <c r="I45" i="9"/>
  <c r="C52" i="9"/>
  <c r="C60" i="9" s="1"/>
  <c r="C70" i="8"/>
  <c r="C71" i="8" s="1"/>
  <c r="D52" i="9"/>
  <c r="D60" i="9" s="1"/>
  <c r="D70" i="8"/>
  <c r="D71" i="8" s="1"/>
  <c r="E52" i="9"/>
  <c r="E60" i="9" s="1"/>
  <c r="E70" i="8"/>
  <c r="E71" i="8" s="1"/>
  <c r="F52" i="9"/>
  <c r="F60" i="9" s="1"/>
  <c r="F70" i="8"/>
  <c r="F71" i="8" s="1"/>
  <c r="G52" i="9"/>
  <c r="G60" i="9" s="1"/>
  <c r="G70" i="8"/>
  <c r="G71" i="8" s="1"/>
  <c r="H52" i="9"/>
  <c r="H60" i="9" s="1"/>
  <c r="H70" i="8"/>
  <c r="H71" i="8" s="1"/>
  <c r="I52" i="9"/>
  <c r="I60" i="9" s="1"/>
  <c r="I70" i="8"/>
  <c r="I71" i="8" s="1"/>
  <c r="J52" i="9"/>
  <c r="J60" i="9" s="1"/>
  <c r="J70" i="8"/>
  <c r="J71" i="8" s="1"/>
  <c r="K52" i="9"/>
  <c r="K60" i="9" s="1"/>
  <c r="K70" i="8"/>
  <c r="K71" i="8" s="1"/>
  <c r="L52" i="9"/>
  <c r="L60" i="9" s="1"/>
  <c r="L70" i="8"/>
  <c r="L71" i="8" s="1"/>
  <c r="C36" i="9"/>
  <c r="C49" i="8"/>
  <c r="C50" i="8" s="1"/>
  <c r="C6" i="9"/>
  <c r="C10" i="9"/>
  <c r="C37" i="8"/>
  <c r="C59" i="8"/>
  <c r="C63" i="8"/>
  <c r="D6" i="9"/>
  <c r="D10" i="9"/>
  <c r="D37" i="8"/>
  <c r="D59" i="8"/>
  <c r="D50" i="8"/>
  <c r="D63" i="8"/>
  <c r="F6" i="9"/>
  <c r="F10" i="9"/>
  <c r="F37" i="8"/>
  <c r="F59" i="8"/>
  <c r="F63" i="8"/>
  <c r="F50" i="8"/>
  <c r="G37" i="8"/>
  <c r="G59" i="8"/>
  <c r="G63" i="8"/>
  <c r="G50" i="8"/>
  <c r="H6" i="9"/>
  <c r="H10" i="9"/>
  <c r="H37" i="8"/>
  <c r="H59" i="8"/>
  <c r="H63" i="8"/>
  <c r="H50" i="8"/>
  <c r="I6" i="9"/>
  <c r="I10" i="9"/>
  <c r="I37" i="8"/>
  <c r="I50" i="8"/>
  <c r="I59" i="8"/>
  <c r="I63" i="8"/>
  <c r="J6" i="9"/>
  <c r="J10" i="9"/>
  <c r="J37" i="8"/>
  <c r="J50" i="8"/>
  <c r="J59" i="8"/>
  <c r="J63" i="8"/>
  <c r="K10" i="9"/>
  <c r="K6" i="9"/>
  <c r="K37" i="8"/>
  <c r="K63" i="8"/>
  <c r="K59" i="8"/>
  <c r="K50" i="8"/>
  <c r="L37" i="8"/>
  <c r="L59" i="8"/>
  <c r="L50" i="8"/>
  <c r="L63" i="8"/>
  <c r="O56" i="9"/>
  <c r="C25" i="8"/>
  <c r="D25" i="8"/>
  <c r="F25" i="8"/>
  <c r="G25" i="8"/>
  <c r="H25" i="8"/>
  <c r="I25" i="8"/>
  <c r="J25" i="8"/>
  <c r="K25" i="8"/>
  <c r="L25" i="8"/>
  <c r="S5" i="8"/>
  <c r="M13" i="9"/>
  <c r="C26" i="8"/>
  <c r="J45" i="9"/>
  <c r="J43" i="9"/>
  <c r="K45" i="9"/>
  <c r="K43" i="9"/>
  <c r="D45" i="9"/>
  <c r="E45" i="9"/>
  <c r="G6" i="9"/>
  <c r="G10" i="9"/>
  <c r="C7" i="8"/>
  <c r="C11" i="8"/>
  <c r="C15" i="8"/>
  <c r="C4" i="8"/>
  <c r="M3" i="8" s="1"/>
  <c r="D7" i="8"/>
  <c r="D11" i="8"/>
  <c r="D15" i="8"/>
  <c r="F7" i="8"/>
  <c r="F11" i="8"/>
  <c r="F15" i="8"/>
  <c r="G7" i="8"/>
  <c r="G11" i="8"/>
  <c r="G15" i="8"/>
  <c r="H7" i="8"/>
  <c r="H11" i="8"/>
  <c r="H15" i="8"/>
  <c r="I7" i="8"/>
  <c r="I11" i="8"/>
  <c r="I15" i="8"/>
  <c r="J7" i="8"/>
  <c r="J11" i="8"/>
  <c r="J15" i="8"/>
  <c r="K7" i="8"/>
  <c r="K11" i="8"/>
  <c r="K15" i="8"/>
  <c r="L7" i="8"/>
  <c r="L11" i="8"/>
  <c r="L15" i="8"/>
  <c r="K11" i="9"/>
  <c r="K14" i="9"/>
  <c r="E10" i="9"/>
  <c r="E6" i="9"/>
  <c r="I14" i="9"/>
  <c r="I11" i="9"/>
  <c r="J14" i="9"/>
  <c r="J11" i="9"/>
  <c r="L14" i="9"/>
  <c r="L11" i="9"/>
  <c r="O42" i="10" l="1"/>
  <c r="O43" i="10" s="1"/>
  <c r="O44" i="10" s="1"/>
  <c r="O31" i="10"/>
  <c r="O33" i="10"/>
  <c r="P2" i="10"/>
  <c r="I21" i="13"/>
  <c r="I20" i="13"/>
  <c r="M28" i="8"/>
  <c r="T19" i="8"/>
  <c r="T23" i="8" s="1"/>
  <c r="S24" i="8"/>
  <c r="M29" i="8" s="1"/>
  <c r="M30" i="8" s="1"/>
  <c r="D31" i="8" s="1"/>
  <c r="T24" i="8" s="1"/>
  <c r="N29" i="8" s="1"/>
  <c r="M34" i="9"/>
  <c r="C43" i="9"/>
  <c r="C45" i="9"/>
  <c r="C11" i="9"/>
  <c r="C14" i="9"/>
  <c r="D14" i="9"/>
  <c r="D11" i="9"/>
  <c r="F11" i="9"/>
  <c r="F14" i="9"/>
  <c r="H11" i="9"/>
  <c r="H14" i="9"/>
  <c r="C38" i="8"/>
  <c r="M36" i="8" s="1"/>
  <c r="C72" i="8"/>
  <c r="C51" i="8"/>
  <c r="M49" i="8" s="1"/>
  <c r="C60" i="8"/>
  <c r="M58" i="8" s="1"/>
  <c r="C64" i="8"/>
  <c r="M70" i="8"/>
  <c r="M62" i="8"/>
  <c r="M59" i="8"/>
  <c r="P56" i="9"/>
  <c r="M24" i="8"/>
  <c r="M25" i="8"/>
  <c r="S6" i="8"/>
  <c r="G14" i="9"/>
  <c r="G11" i="9"/>
  <c r="N3" i="8"/>
  <c r="M3" i="9"/>
  <c r="C8" i="8"/>
  <c r="M6" i="8" s="1"/>
  <c r="C12" i="8"/>
  <c r="M10" i="8" s="1"/>
  <c r="C16" i="8"/>
  <c r="M14" i="8" s="1"/>
  <c r="K15" i="9"/>
  <c r="K19" i="9"/>
  <c r="K40" i="8" s="1"/>
  <c r="K42" i="8" s="1"/>
  <c r="E11" i="9"/>
  <c r="E14" i="9"/>
  <c r="I15" i="9"/>
  <c r="I19" i="9"/>
  <c r="I40" i="8" s="1"/>
  <c r="I42" i="8" s="1"/>
  <c r="J15" i="9"/>
  <c r="J19" i="9"/>
  <c r="J40" i="8" s="1"/>
  <c r="J42" i="8" s="1"/>
  <c r="L15" i="9"/>
  <c r="L19" i="9"/>
  <c r="L40" i="8" s="1"/>
  <c r="L42" i="8" s="1"/>
  <c r="P42" i="10" l="1"/>
  <c r="P43" i="10" s="1"/>
  <c r="P44" i="10" s="1"/>
  <c r="P31" i="10"/>
  <c r="P33" i="10"/>
  <c r="Q2" i="10"/>
  <c r="I22" i="13"/>
  <c r="G25" i="13" s="1"/>
  <c r="G27" i="13" s="1"/>
  <c r="G29" i="13" s="1"/>
  <c r="U19" i="8"/>
  <c r="N34" i="9"/>
  <c r="N28" i="8"/>
  <c r="N30" i="8" s="1"/>
  <c r="E31" i="8" s="1"/>
  <c r="C15" i="9"/>
  <c r="C19" i="9"/>
  <c r="D15" i="9"/>
  <c r="D19" i="9"/>
  <c r="F15" i="9"/>
  <c r="F19" i="9"/>
  <c r="H15" i="9"/>
  <c r="H19" i="9"/>
  <c r="M35" i="9"/>
  <c r="M50" i="8"/>
  <c r="M71" i="8"/>
  <c r="M50" i="9"/>
  <c r="M63" i="8"/>
  <c r="D60" i="8"/>
  <c r="N58" i="8" s="1"/>
  <c r="G15" i="9"/>
  <c r="G19" i="9"/>
  <c r="M54" i="8"/>
  <c r="Q56" i="9"/>
  <c r="M18" i="9"/>
  <c r="M37" i="8"/>
  <c r="D26" i="8"/>
  <c r="N24" i="8" s="1"/>
  <c r="N25" i="8" s="1"/>
  <c r="S7" i="8"/>
  <c r="T6" i="8"/>
  <c r="N75" i="9" s="1"/>
  <c r="O3" i="8"/>
  <c r="N3" i="9"/>
  <c r="M11" i="8"/>
  <c r="M8" i="9"/>
  <c r="M7" i="8"/>
  <c r="D8" i="8" s="1"/>
  <c r="N6" i="8" s="1"/>
  <c r="M4" i="9"/>
  <c r="M5" i="9" s="1"/>
  <c r="M15" i="8"/>
  <c r="M9" i="9"/>
  <c r="K20" i="9"/>
  <c r="K23" i="9"/>
  <c r="E15" i="9"/>
  <c r="E19" i="9"/>
  <c r="E40" i="8" s="1"/>
  <c r="E42" i="8" s="1"/>
  <c r="I20" i="9"/>
  <c r="I23" i="9"/>
  <c r="J20" i="9"/>
  <c r="J23" i="9"/>
  <c r="L20" i="9"/>
  <c r="L23" i="9"/>
  <c r="Q42" i="10" l="1"/>
  <c r="Q43" i="10" s="1"/>
  <c r="Q44" i="10" s="1"/>
  <c r="Q31" i="10"/>
  <c r="Q33" i="10"/>
  <c r="M36" i="9"/>
  <c r="M69" i="9"/>
  <c r="U24" i="8"/>
  <c r="O29" i="8" s="1"/>
  <c r="U23" i="8"/>
  <c r="C40" i="8"/>
  <c r="C42" i="8" s="1"/>
  <c r="C20" i="9"/>
  <c r="C23" i="9"/>
  <c r="D40" i="8"/>
  <c r="D42" i="8" s="1"/>
  <c r="D20" i="9"/>
  <c r="D23" i="9"/>
  <c r="F40" i="8"/>
  <c r="F42" i="8" s="1"/>
  <c r="F20" i="9"/>
  <c r="F23" i="9"/>
  <c r="H40" i="8"/>
  <c r="H42" i="8" s="1"/>
  <c r="H20" i="9"/>
  <c r="H23" i="9"/>
  <c r="G40" i="8"/>
  <c r="G42" i="8" s="1"/>
  <c r="G20" i="9"/>
  <c r="G23" i="9"/>
  <c r="D51" i="8"/>
  <c r="N49" i="8" s="1"/>
  <c r="D72" i="8"/>
  <c r="N70" i="8" s="1"/>
  <c r="M83" i="9"/>
  <c r="D64" i="8"/>
  <c r="N62" i="8" s="1"/>
  <c r="N71" i="8"/>
  <c r="N51" i="9"/>
  <c r="N63" i="8"/>
  <c r="N55" i="9"/>
  <c r="N59" i="8"/>
  <c r="M39" i="9"/>
  <c r="M41" i="9" s="1"/>
  <c r="M43" i="9" s="1"/>
  <c r="M55" i="8"/>
  <c r="K24" i="9"/>
  <c r="K46" i="8"/>
  <c r="I24" i="9"/>
  <c r="I46" i="8"/>
  <c r="J24" i="9"/>
  <c r="J46" i="8"/>
  <c r="L24" i="9"/>
  <c r="L46" i="8"/>
  <c r="D38" i="8"/>
  <c r="N36" i="8" s="1"/>
  <c r="M17" i="9"/>
  <c r="N18" i="9"/>
  <c r="N37" i="8"/>
  <c r="E38" i="8" s="1"/>
  <c r="O36" i="8" s="1"/>
  <c r="C43" i="8"/>
  <c r="M48" i="9"/>
  <c r="T4" i="8"/>
  <c r="E26" i="8"/>
  <c r="O24" i="8" s="1"/>
  <c r="P3" i="8"/>
  <c r="O3" i="9"/>
  <c r="N7" i="8"/>
  <c r="E8" i="8" s="1"/>
  <c r="O6" i="8" s="1"/>
  <c r="N4" i="9"/>
  <c r="N5" i="9" s="1"/>
  <c r="D12" i="8"/>
  <c r="N10" i="8" s="1"/>
  <c r="M10" i="9"/>
  <c r="M6" i="9"/>
  <c r="D16" i="8"/>
  <c r="N14" i="8" s="1"/>
  <c r="E20" i="9"/>
  <c r="E23" i="9"/>
  <c r="O28" i="8" l="1"/>
  <c r="O30" i="8" s="1"/>
  <c r="F31" i="8" s="1"/>
  <c r="V24" i="8" s="1"/>
  <c r="P29" i="8" s="1"/>
  <c r="O34" i="9"/>
  <c r="V19" i="8"/>
  <c r="V23" i="8" s="1"/>
  <c r="C24" i="9"/>
  <c r="C46" i="8"/>
  <c r="D24" i="9"/>
  <c r="D46" i="8"/>
  <c r="F24" i="9"/>
  <c r="F46" i="8"/>
  <c r="H24" i="9"/>
  <c r="H46" i="8"/>
  <c r="G24" i="9"/>
  <c r="G46" i="8"/>
  <c r="N35" i="9"/>
  <c r="N50" i="8"/>
  <c r="E60" i="8"/>
  <c r="O58" i="8" s="1"/>
  <c r="D56" i="8"/>
  <c r="N54" i="8" s="1"/>
  <c r="N50" i="9"/>
  <c r="E51" i="8"/>
  <c r="O49" i="8" s="1"/>
  <c r="E72" i="8"/>
  <c r="O70" i="8" s="1"/>
  <c r="E64" i="8"/>
  <c r="O62" i="8" s="1"/>
  <c r="M20" i="8"/>
  <c r="M66" i="8"/>
  <c r="E24" i="9"/>
  <c r="E46" i="8"/>
  <c r="O18" i="9"/>
  <c r="O37" i="8"/>
  <c r="F38" i="8" s="1"/>
  <c r="P36" i="8" s="1"/>
  <c r="D21" i="8"/>
  <c r="N19" i="8" s="1"/>
  <c r="O25" i="8"/>
  <c r="F26" i="8" s="1"/>
  <c r="P24" i="8" s="1"/>
  <c r="U6" i="8"/>
  <c r="O75" i="9" s="1"/>
  <c r="M11" i="9"/>
  <c r="M14" i="9"/>
  <c r="O7" i="8"/>
  <c r="F8" i="8" s="1"/>
  <c r="P6" i="8" s="1"/>
  <c r="O4" i="9"/>
  <c r="O5" i="9" s="1"/>
  <c r="P3" i="9"/>
  <c r="Q3" i="8"/>
  <c r="N6" i="9"/>
  <c r="N11" i="8"/>
  <c r="N8" i="9"/>
  <c r="N15" i="8"/>
  <c r="N9" i="9"/>
  <c r="N36" i="9" l="1"/>
  <c r="N69" i="9"/>
  <c r="W19" i="8"/>
  <c r="W23" i="8" s="1"/>
  <c r="P28" i="8"/>
  <c r="P30" i="8" s="1"/>
  <c r="G31" i="8" s="1"/>
  <c r="W24" i="8" s="1"/>
  <c r="Q29" i="8" s="1"/>
  <c r="P34" i="9"/>
  <c r="C47" i="8"/>
  <c r="O59" i="8"/>
  <c r="F60" i="8" s="1"/>
  <c r="P58" i="8" s="1"/>
  <c r="O55" i="9"/>
  <c r="P55" i="9"/>
  <c r="P59" i="8"/>
  <c r="G60" i="8" s="1"/>
  <c r="Q58" i="8" s="1"/>
  <c r="N55" i="8"/>
  <c r="N39" i="9"/>
  <c r="N41" i="9" s="1"/>
  <c r="N43" i="9" s="1"/>
  <c r="N83" i="9"/>
  <c r="O50" i="8"/>
  <c r="F51" i="8" s="1"/>
  <c r="P49" i="8" s="1"/>
  <c r="O35" i="9"/>
  <c r="O71" i="8"/>
  <c r="F72" i="8" s="1"/>
  <c r="P70" i="8" s="1"/>
  <c r="P71" i="8" s="1"/>
  <c r="G72" i="8" s="1"/>
  <c r="Q70" i="8" s="1"/>
  <c r="O51" i="9"/>
  <c r="P51" i="9"/>
  <c r="O63" i="8"/>
  <c r="F64" i="8" s="1"/>
  <c r="P62" i="8" s="1"/>
  <c r="O50" i="9"/>
  <c r="M49" i="9"/>
  <c r="M52" i="9" s="1"/>
  <c r="M67" i="8"/>
  <c r="N17" i="9"/>
  <c r="P18" i="9"/>
  <c r="P37" i="8"/>
  <c r="G38" i="8" s="1"/>
  <c r="Q36" i="8" s="1"/>
  <c r="P4" i="9"/>
  <c r="P5" i="9" s="1"/>
  <c r="P7" i="8"/>
  <c r="G8" i="8" s="1"/>
  <c r="Q6" i="8" s="1"/>
  <c r="T5" i="8"/>
  <c r="T7" i="8" s="1"/>
  <c r="N13" i="9"/>
  <c r="V6" i="8"/>
  <c r="P75" i="9" s="1"/>
  <c r="P25" i="8"/>
  <c r="G26" i="8" s="1"/>
  <c r="Q24" i="8" s="1"/>
  <c r="M15" i="9"/>
  <c r="M19" i="9"/>
  <c r="M40" i="8" s="1"/>
  <c r="M41" i="8" s="1"/>
  <c r="Q3" i="9"/>
  <c r="N10" i="9"/>
  <c r="E12" i="8"/>
  <c r="O10" i="8" s="1"/>
  <c r="E16" i="8"/>
  <c r="O14" i="8" s="1"/>
  <c r="O6" i="9"/>
  <c r="O36" i="9" l="1"/>
  <c r="O69" i="9"/>
  <c r="O70" i="9" s="1"/>
  <c r="Q34" i="9"/>
  <c r="Q28" i="8"/>
  <c r="Q30" i="8" s="1"/>
  <c r="P50" i="8"/>
  <c r="G51" i="8" s="1"/>
  <c r="Q49" i="8" s="1"/>
  <c r="P35" i="9"/>
  <c r="Q55" i="9"/>
  <c r="Q59" i="8"/>
  <c r="E56" i="8"/>
  <c r="O54" i="8" s="1"/>
  <c r="Q51" i="9"/>
  <c r="Q71" i="8"/>
  <c r="D68" i="8"/>
  <c r="P50" i="9"/>
  <c r="P63" i="8"/>
  <c r="G64" i="8" s="1"/>
  <c r="Q62" i="8" s="1"/>
  <c r="Q18" i="9"/>
  <c r="Q37" i="8"/>
  <c r="O17" i="9"/>
  <c r="M22" i="9"/>
  <c r="M42" i="8"/>
  <c r="U4" i="8"/>
  <c r="N18" i="8"/>
  <c r="N48" i="9"/>
  <c r="M20" i="9"/>
  <c r="W6" i="8"/>
  <c r="Q75" i="9" s="1"/>
  <c r="Q25" i="8"/>
  <c r="N11" i="9"/>
  <c r="N14" i="9"/>
  <c r="Q4" i="9"/>
  <c r="Q5" i="9" s="1"/>
  <c r="Q6" i="9" s="1"/>
  <c r="Q7" i="8"/>
  <c r="O11" i="8"/>
  <c r="F12" i="8" s="1"/>
  <c r="P10" i="8" s="1"/>
  <c r="O8" i="9"/>
  <c r="O9" i="9"/>
  <c r="O15" i="8"/>
  <c r="F16" i="8" s="1"/>
  <c r="P14" i="8" s="1"/>
  <c r="P6" i="9"/>
  <c r="Q35" i="9" l="1"/>
  <c r="Q69" i="9" s="1"/>
  <c r="Q70" i="9" s="1"/>
  <c r="Q50" i="8"/>
  <c r="P36" i="9"/>
  <c r="P69" i="9"/>
  <c r="P70" i="9" s="1"/>
  <c r="Q36" i="9"/>
  <c r="O55" i="8"/>
  <c r="F56" i="8" s="1"/>
  <c r="P54" i="8" s="1"/>
  <c r="O39" i="9"/>
  <c r="O41" i="9" s="1"/>
  <c r="O43" i="9" s="1"/>
  <c r="O83" i="9"/>
  <c r="Q50" i="9"/>
  <c r="Q63" i="8"/>
  <c r="N20" i="8"/>
  <c r="E21" i="8" s="1"/>
  <c r="O19" i="8" s="1"/>
  <c r="N66" i="8"/>
  <c r="M23" i="9"/>
  <c r="M71" i="9"/>
  <c r="M24" i="9"/>
  <c r="D43" i="8"/>
  <c r="U5" i="8"/>
  <c r="U7" i="8" s="1"/>
  <c r="O13" i="9"/>
  <c r="N15" i="9"/>
  <c r="N19" i="9"/>
  <c r="N40" i="8" s="1"/>
  <c r="O10" i="9"/>
  <c r="P15" i="8"/>
  <c r="G16" i="8" s="1"/>
  <c r="Q14" i="8" s="1"/>
  <c r="P9" i="9"/>
  <c r="P11" i="8"/>
  <c r="G12" i="8" s="1"/>
  <c r="Q10" i="8" s="1"/>
  <c r="P8" i="9"/>
  <c r="M45" i="8" l="1"/>
  <c r="S12" i="8"/>
  <c r="P39" i="9"/>
  <c r="P41" i="9" s="1"/>
  <c r="P43" i="9" s="1"/>
  <c r="P55" i="8"/>
  <c r="G56" i="8" s="1"/>
  <c r="Q54" i="8" s="1"/>
  <c r="N49" i="9"/>
  <c r="N52" i="9" s="1"/>
  <c r="N67" i="8"/>
  <c r="P83" i="9"/>
  <c r="N41" i="8"/>
  <c r="P17" i="9"/>
  <c r="V4" i="8"/>
  <c r="O18" i="8"/>
  <c r="O20" i="8" s="1"/>
  <c r="F21" i="8" s="1"/>
  <c r="P19" i="8" s="1"/>
  <c r="O48" i="9"/>
  <c r="N20" i="9"/>
  <c r="O11" i="9"/>
  <c r="O14" i="9"/>
  <c r="P10" i="9"/>
  <c r="Q15" i="8"/>
  <c r="Q9" i="9"/>
  <c r="Q8" i="9"/>
  <c r="Q11" i="8"/>
  <c r="M88" i="9" l="1"/>
  <c r="M91" i="9" s="1"/>
  <c r="M46" i="8"/>
  <c r="D47" i="8" s="1"/>
  <c r="S13" i="8"/>
  <c r="S14" i="8" s="1"/>
  <c r="Q39" i="9"/>
  <c r="Q41" i="9" s="1"/>
  <c r="Q43" i="9" s="1"/>
  <c r="Q55" i="8"/>
  <c r="E68" i="8"/>
  <c r="O66" i="8" s="1"/>
  <c r="Q83" i="9"/>
  <c r="N22" i="9"/>
  <c r="N42" i="8"/>
  <c r="E43" i="8" s="1"/>
  <c r="Q17" i="9"/>
  <c r="P13" i="9"/>
  <c r="P14" i="9" s="1"/>
  <c r="V5" i="8"/>
  <c r="V7" i="8" s="1"/>
  <c r="O15" i="9"/>
  <c r="O19" i="9"/>
  <c r="O40" i="8" s="1"/>
  <c r="P11" i="9"/>
  <c r="Q10" i="9"/>
  <c r="T11" i="8" l="1"/>
  <c r="M30" i="9"/>
  <c r="M31" i="9" s="1"/>
  <c r="M45" i="9" s="1"/>
  <c r="O67" i="8"/>
  <c r="F68" i="8" s="1"/>
  <c r="P66" i="8" s="1"/>
  <c r="O49" i="9"/>
  <c r="O52" i="9" s="1"/>
  <c r="N23" i="9"/>
  <c r="N71" i="9"/>
  <c r="T12" i="8"/>
  <c r="O41" i="8"/>
  <c r="P18" i="8"/>
  <c r="P20" i="8" s="1"/>
  <c r="G21" i="8" s="1"/>
  <c r="Q19" i="8" s="1"/>
  <c r="W4" i="8"/>
  <c r="P48" i="9"/>
  <c r="O20" i="9"/>
  <c r="P15" i="9"/>
  <c r="P19" i="9"/>
  <c r="P40" i="8" s="1"/>
  <c r="Q11" i="9"/>
  <c r="N24" i="9" l="1"/>
  <c r="N45" i="8"/>
  <c r="O22" i="9"/>
  <c r="O42" i="8"/>
  <c r="F43" i="8" s="1"/>
  <c r="P41" i="8" s="1"/>
  <c r="P67" i="8"/>
  <c r="G68" i="8" s="1"/>
  <c r="P49" i="9"/>
  <c r="P52" i="9" s="1"/>
  <c r="W5" i="8"/>
  <c r="W7" i="8" s="1"/>
  <c r="Q13" i="9"/>
  <c r="Q14" i="9" s="1"/>
  <c r="P20" i="9"/>
  <c r="N88" i="9" l="1"/>
  <c r="N91" i="9" s="1"/>
  <c r="T13" i="8"/>
  <c r="T14" i="8" s="1"/>
  <c r="N46" i="8"/>
  <c r="E47" i="8" s="1"/>
  <c r="O23" i="9"/>
  <c r="O71" i="9"/>
  <c r="O72" i="9" s="1"/>
  <c r="P42" i="8"/>
  <c r="G43" i="8" s="1"/>
  <c r="P22" i="9"/>
  <c r="Q48" i="9"/>
  <c r="Q18" i="8"/>
  <c r="Q19" i="9"/>
  <c r="Q40" i="8" s="1"/>
  <c r="Q15" i="9"/>
  <c r="U11" i="8" l="1"/>
  <c r="N30" i="9"/>
  <c r="N31" i="9" s="1"/>
  <c r="N45" i="9" s="1"/>
  <c r="O45" i="8"/>
  <c r="O24" i="9"/>
  <c r="U12" i="8"/>
  <c r="Q20" i="8"/>
  <c r="Q66" i="8"/>
  <c r="P23" i="9"/>
  <c r="P71" i="9"/>
  <c r="P72" i="9" s="1"/>
  <c r="Q41" i="8"/>
  <c r="V12" i="8"/>
  <c r="P24" i="9"/>
  <c r="Q20" i="9"/>
  <c r="O46" i="8" l="1"/>
  <c r="F47" i="8" s="1"/>
  <c r="P45" i="8" s="1"/>
  <c r="O88" i="9"/>
  <c r="O91" i="9" s="1"/>
  <c r="O94" i="9" s="1"/>
  <c r="U13" i="8"/>
  <c r="U14" i="8" s="1"/>
  <c r="Q49" i="9"/>
  <c r="Q52" i="9" s="1"/>
  <c r="Q67" i="8"/>
  <c r="Q22" i="9"/>
  <c r="Q42" i="8"/>
  <c r="V11" i="8" l="1"/>
  <c r="O30" i="9"/>
  <c r="O31" i="9" s="1"/>
  <c r="O45" i="9" s="1"/>
  <c r="P88" i="9"/>
  <c r="P91" i="9" s="1"/>
  <c r="P94" i="9" s="1"/>
  <c r="P46" i="8"/>
  <c r="G47" i="8" s="1"/>
  <c r="V13" i="8"/>
  <c r="Q23" i="9"/>
  <c r="Q71" i="9"/>
  <c r="Q72" i="9" s="1"/>
  <c r="W12" i="8"/>
  <c r="V14" i="8" l="1"/>
  <c r="Q45" i="8"/>
  <c r="Q24" i="9"/>
  <c r="P30" i="9"/>
  <c r="P31" i="9" s="1"/>
  <c r="P45" i="9" s="1"/>
  <c r="W11" i="8"/>
  <c r="Q88" i="9" l="1"/>
  <c r="Q91" i="9" s="1"/>
  <c r="Q94" i="9" s="1"/>
  <c r="W13" i="8"/>
  <c r="W14" i="8" s="1"/>
  <c r="Q30" i="9" s="1"/>
  <c r="Q31" i="9" s="1"/>
  <c r="Q45" i="9" s="1"/>
  <c r="Q46" i="8"/>
  <c r="M66" i="9"/>
  <c r="M70" i="9" s="1"/>
  <c r="M72" i="9" s="1"/>
  <c r="M94" i="9" s="1"/>
  <c r="M95" i="9" s="1"/>
  <c r="M57" i="9" s="1"/>
  <c r="N66" i="9"/>
  <c r="N70" i="9"/>
  <c r="N72" i="9"/>
  <c r="N94" i="9" s="1"/>
  <c r="M27" i="10" l="1"/>
  <c r="M28" i="10"/>
  <c r="N93" i="9"/>
  <c r="N95" i="9" s="1"/>
  <c r="M58" i="9"/>
  <c r="N57" i="9" l="1"/>
  <c r="O93" i="9"/>
  <c r="O95" i="9" s="1"/>
  <c r="M60" i="9"/>
  <c r="M26" i="10"/>
  <c r="N58" i="9" l="1"/>
  <c r="N27" i="10"/>
  <c r="N28" i="10"/>
  <c r="O57" i="9"/>
  <c r="P93" i="9"/>
  <c r="P95" i="9" s="1"/>
  <c r="M8" i="11"/>
  <c r="M19" i="10"/>
  <c r="M7" i="11" s="1"/>
  <c r="M9" i="10"/>
  <c r="M15" i="10"/>
  <c r="P57" i="9" l="1"/>
  <c r="Q93" i="9"/>
  <c r="Q95" i="9" s="1"/>
  <c r="Q57" i="9" s="1"/>
  <c r="O58" i="9"/>
  <c r="O28" i="10"/>
  <c r="O27" i="10"/>
  <c r="N26" i="10"/>
  <c r="N60" i="9"/>
  <c r="M11" i="11"/>
  <c r="M14" i="11"/>
  <c r="N15" i="10" l="1"/>
  <c r="P58" i="9"/>
  <c r="P27" i="10"/>
  <c r="P28" i="10"/>
  <c r="Q58" i="9"/>
  <c r="Q28" i="10"/>
  <c r="Q27" i="10"/>
  <c r="N9" i="10"/>
  <c r="N8" i="11"/>
  <c r="N19" i="10"/>
  <c r="N7" i="11" s="1"/>
  <c r="O26" i="10"/>
  <c r="O60" i="9"/>
  <c r="N11" i="11" l="1"/>
  <c r="N14" i="11"/>
  <c r="Q60" i="9"/>
  <c r="Q26" i="10"/>
  <c r="P60" i="9"/>
  <c r="P26" i="10"/>
  <c r="O15" i="10"/>
  <c r="O9" i="10"/>
  <c r="O19" i="10"/>
  <c r="O7" i="11" s="1"/>
  <c r="O8" i="11"/>
  <c r="Q9" i="10" l="1"/>
  <c r="Q8" i="11"/>
  <c r="Q19" i="10"/>
  <c r="Q7" i="11" s="1"/>
  <c r="Q15" i="10"/>
  <c r="P15" i="10"/>
  <c r="P9" i="10"/>
  <c r="P19" i="10"/>
  <c r="P7" i="11" s="1"/>
  <c r="P8" i="11"/>
  <c r="O14" i="11"/>
  <c r="O11" i="11"/>
  <c r="Q14" i="11" l="1"/>
  <c r="Q11" i="11"/>
  <c r="P11" i="11"/>
  <c r="P14" i="11"/>
</calcChain>
</file>

<file path=xl/sharedStrings.xml><?xml version="1.0" encoding="utf-8"?>
<sst xmlns="http://schemas.openxmlformats.org/spreadsheetml/2006/main" count="629" uniqueCount="561">
  <si>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</si>
  <si>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</si>
  <si>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</si>
  <si>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</si>
  <si>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</si>
  <si>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</si>
  <si>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</si>
  <si>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</si>
  <si>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</si>
  <si>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</si>
  <si>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</si>
  <si>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</si>
  <si>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</si>
  <si>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</si>
  <si>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</si>
  <si>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</si>
  <si>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</si>
  <si>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</si>
  <si>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</si>
  <si>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</si>
  <si>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</si>
  <si>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</si>
  <si>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</si>
  <si>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</si>
  <si>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</si>
  <si>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</si>
  <si>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</si>
  <si>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</si>
  <si>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</si>
  <si>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</si>
  <si>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</si>
  <si>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</si>
  <si>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</si>
  <si>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</si>
  <si>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</si>
  <si>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</si>
  <si>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</si>
  <si>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</si>
  <si>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</si>
  <si>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</si>
  <si>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</si>
  <si>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</si>
  <si>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</si>
  <si>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</si>
  <si>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</si>
  <si>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</si>
  <si>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</si>
  <si>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</si>
  <si>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</si>
  <si>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</si>
  <si>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</si>
  <si>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</si>
  <si>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</si>
  <si>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</si>
  <si>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</si>
  <si>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</si>
  <si>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</si>
  <si>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</si>
  <si>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</si>
  <si>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</si>
  <si>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</si>
  <si>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</si>
  <si>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</si>
  <si>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</si>
  <si>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</si>
  <si>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</si>
  <si>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</si>
  <si>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</si>
  <si>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Proceeds from shares</t>
  </si>
  <si>
    <t>Repayment of borrowings</t>
  </si>
  <si>
    <t>Dividends paid</t>
  </si>
  <si>
    <t>Financial liabilities</t>
  </si>
  <si>
    <t>Other financing items</t>
  </si>
  <si>
    <t>Cash from Operating Activity </t>
  </si>
  <si>
    <t>Cash from Investing Activity </t>
  </si>
  <si>
    <t>Cash from Financing Activity </t>
  </si>
  <si>
    <t>Trade Payables</t>
  </si>
  <si>
    <t>Advance from Customers</t>
  </si>
  <si>
    <t>*</t>
  </si>
  <si>
    <t>COGS</t>
  </si>
  <si>
    <t>Gross Profit</t>
  </si>
  <si>
    <t>EBITDA</t>
  </si>
  <si>
    <t>EBIT</t>
  </si>
  <si>
    <t>EBT</t>
  </si>
  <si>
    <t>Net Profit</t>
  </si>
  <si>
    <t>Gross Profit Margin</t>
  </si>
  <si>
    <t>EBITDA Margin</t>
  </si>
  <si>
    <t>EBIT Margin</t>
  </si>
  <si>
    <t>EBT Margin</t>
  </si>
  <si>
    <t>Net Profit Margin</t>
  </si>
  <si>
    <t>CAGR</t>
  </si>
  <si>
    <t>% COGS</t>
  </si>
  <si>
    <t xml:space="preserve">Average </t>
  </si>
  <si>
    <t>% Selling and admin</t>
  </si>
  <si>
    <t>Average %</t>
  </si>
  <si>
    <t>% Other Expenses</t>
  </si>
  <si>
    <t>Current Liabilities</t>
  </si>
  <si>
    <t>Total Current Liabilities</t>
  </si>
  <si>
    <t>Total Liabilities</t>
  </si>
  <si>
    <t>Non-Current Assets</t>
  </si>
  <si>
    <t>Non-Current Liabilities</t>
  </si>
  <si>
    <t>Total Non-Current Liabilities</t>
  </si>
  <si>
    <t>Current Assets</t>
  </si>
  <si>
    <t>Total Non-Current Assets</t>
  </si>
  <si>
    <t>Total Current Assets</t>
  </si>
  <si>
    <t>Total Assets</t>
  </si>
  <si>
    <t>Total Liabilities &amp; Shareholer's Funds</t>
  </si>
  <si>
    <t>Cash-Flow from Operating Activity</t>
  </si>
  <si>
    <t>Cash-Flow from Investing Activity</t>
  </si>
  <si>
    <t>Cash-Flow from Financing Activity</t>
  </si>
  <si>
    <t>% Depreciation</t>
  </si>
  <si>
    <t>Fixed Assets Schedule</t>
  </si>
  <si>
    <t>% Fixed Assets purchased</t>
  </si>
  <si>
    <t>% Interest</t>
  </si>
  <si>
    <t>% Other Income</t>
  </si>
  <si>
    <t>% Tax</t>
  </si>
  <si>
    <t>Opening Balance</t>
  </si>
  <si>
    <t>Closing Balance</t>
  </si>
  <si>
    <t xml:space="preserve">   </t>
  </si>
  <si>
    <t>Resevers Schedule</t>
  </si>
  <si>
    <t>Dividends Payout</t>
  </si>
  <si>
    <t>Average Dividends Payout</t>
  </si>
  <si>
    <t>Debt Schedule</t>
  </si>
  <si>
    <t>% Other Liabilities</t>
  </si>
  <si>
    <t>Days</t>
  </si>
  <si>
    <t>Average Days</t>
  </si>
  <si>
    <t>% Investments</t>
  </si>
  <si>
    <t>Average % Investment</t>
  </si>
  <si>
    <t>% Capital Work in Progress</t>
  </si>
  <si>
    <t>Average % Capital WP</t>
  </si>
  <si>
    <t>% Other Assets</t>
  </si>
  <si>
    <t>Average % Other Assets</t>
  </si>
  <si>
    <t xml:space="preserve"> </t>
  </si>
  <si>
    <t>Return on Equity</t>
  </si>
  <si>
    <t>Return on Assets</t>
  </si>
  <si>
    <t>Solvency Ratios</t>
  </si>
  <si>
    <t>Profitability Ratios</t>
  </si>
  <si>
    <t>D/E Ratio</t>
  </si>
  <si>
    <t>P/E Ratio</t>
  </si>
  <si>
    <t>Interest Coverage Ratio</t>
  </si>
  <si>
    <t>Efficency Ratios</t>
  </si>
  <si>
    <t>Assets Turnover Ratio</t>
  </si>
  <si>
    <t>Fixed Assets Turnover Ratio</t>
  </si>
  <si>
    <t>Inventory Turnover Ratio</t>
  </si>
  <si>
    <t>Trade Payable Turnover Ratio</t>
  </si>
  <si>
    <t>Trade Receivable Turnover Ratio</t>
  </si>
  <si>
    <t>Liquidity Ratios</t>
  </si>
  <si>
    <t>Current Ratio</t>
  </si>
  <si>
    <t>Quick Ratio</t>
  </si>
  <si>
    <t>Cash Ratio</t>
  </si>
  <si>
    <t>Debt Ratio</t>
  </si>
  <si>
    <t>Eairning Per Share</t>
  </si>
  <si>
    <t>Book Value Per Share</t>
  </si>
  <si>
    <t>Inventory Days</t>
  </si>
  <si>
    <t>Trade Payable Days</t>
  </si>
  <si>
    <t>Trade Receivable Days</t>
  </si>
  <si>
    <t>Cash Conversion Cycle</t>
  </si>
  <si>
    <t>Market Prospect Ratios</t>
  </si>
  <si>
    <t>Operating Cycle Ratios</t>
  </si>
  <si>
    <t>Market Ratios</t>
  </si>
  <si>
    <t>Dividend Payout Ratio</t>
  </si>
  <si>
    <t>Retention Ratio</t>
  </si>
  <si>
    <t>Sustainability Ratio</t>
  </si>
  <si>
    <t>Return on Capital Employed</t>
  </si>
  <si>
    <t>Tax Burden</t>
  </si>
  <si>
    <t>Interest Burden</t>
  </si>
  <si>
    <t xml:space="preserve">Assets Turnover </t>
  </si>
  <si>
    <t>Equity Multiplier</t>
  </si>
  <si>
    <t>Operating Margin</t>
  </si>
  <si>
    <t>DuPont 3 Step Model</t>
  </si>
  <si>
    <t>DuPont 5 Step Model</t>
  </si>
  <si>
    <t>Company Name</t>
  </si>
  <si>
    <t>Market</t>
  </si>
  <si>
    <t>Finance</t>
  </si>
  <si>
    <t>Valuation</t>
  </si>
  <si>
    <t>Share Price</t>
  </si>
  <si>
    <t>Market Cap</t>
  </si>
  <si>
    <t>Net Debt</t>
  </si>
  <si>
    <t>Revenue</t>
  </si>
  <si>
    <t>EV/Revenue</t>
  </si>
  <si>
    <t>EV/EBITDA</t>
  </si>
  <si>
    <t>EV/EBIT</t>
  </si>
  <si>
    <t>P/E</t>
  </si>
  <si>
    <t>Enterprise Value</t>
  </si>
  <si>
    <t>Infosys</t>
  </si>
  <si>
    <t>TCS</t>
  </si>
  <si>
    <t>HCL Technologies</t>
  </si>
  <si>
    <t>Wipro</t>
  </si>
  <si>
    <t>Tech Mahindra</t>
  </si>
  <si>
    <t>Average</t>
  </si>
  <si>
    <t>Median</t>
  </si>
  <si>
    <t>Max</t>
  </si>
  <si>
    <t>Min</t>
  </si>
  <si>
    <t>25th Percentile</t>
  </si>
  <si>
    <t>75th Percentile</t>
  </si>
  <si>
    <t>Implied Enterprise Value</t>
  </si>
  <si>
    <t>Implied Market Value</t>
  </si>
  <si>
    <t>Shares Outstanding</t>
  </si>
  <si>
    <t>Implied Value Per Share</t>
  </si>
  <si>
    <t>10/23/2016</t>
  </si>
  <si>
    <t>10/30/2016</t>
  </si>
  <si>
    <t>11/13/2016</t>
  </si>
  <si>
    <t>11/20/2016</t>
  </si>
  <si>
    <t>11/27/2016</t>
  </si>
  <si>
    <t>12/18/2016</t>
  </si>
  <si>
    <t>12/25/2016</t>
  </si>
  <si>
    <t>01/15/2017</t>
  </si>
  <si>
    <t>01/22/2017</t>
  </si>
  <si>
    <t>01/29/2017</t>
  </si>
  <si>
    <t>02/19/2017</t>
  </si>
  <si>
    <t>02/26/2017</t>
  </si>
  <si>
    <t>03/19/2017</t>
  </si>
  <si>
    <t>03/26/2017</t>
  </si>
  <si>
    <t>04/16/2017</t>
  </si>
  <si>
    <t>04/23/2017</t>
  </si>
  <si>
    <t>04/30/2017</t>
  </si>
  <si>
    <t>05/14/2017</t>
  </si>
  <si>
    <t>05/21/2017</t>
  </si>
  <si>
    <t>05/28/2017</t>
  </si>
  <si>
    <t>06/18/2017</t>
  </si>
  <si>
    <t>06/25/2017</t>
  </si>
  <si>
    <t>07/16/2017</t>
  </si>
  <si>
    <t>07/23/2017</t>
  </si>
  <si>
    <t>07/30/2017</t>
  </si>
  <si>
    <t>08/13/2017</t>
  </si>
  <si>
    <t>08/20/2017</t>
  </si>
  <si>
    <t>08/27/2017</t>
  </si>
  <si>
    <t>09/17/2017</t>
  </si>
  <si>
    <t>09/24/2017</t>
  </si>
  <si>
    <t>10/15/2017</t>
  </si>
  <si>
    <t>10/22/2017</t>
  </si>
  <si>
    <t>10/29/2017</t>
  </si>
  <si>
    <t>11/19/2017</t>
  </si>
  <si>
    <t>11/26/2017</t>
  </si>
  <si>
    <t>12/17/2017</t>
  </si>
  <si>
    <t>12/24/2017</t>
  </si>
  <si>
    <t>12/31/2017</t>
  </si>
  <si>
    <t>01/14/2018</t>
  </si>
  <si>
    <t>01/21/2018</t>
  </si>
  <si>
    <t>01/28/2018</t>
  </si>
  <si>
    <t>02/18/2018</t>
  </si>
  <si>
    <t>02/25/2018</t>
  </si>
  <si>
    <t>03/18/2018</t>
  </si>
  <si>
    <t>03/25/2018</t>
  </si>
  <si>
    <t>04/15/2018</t>
  </si>
  <si>
    <t>04/22/2018</t>
  </si>
  <si>
    <t>04/29/2018</t>
  </si>
  <si>
    <t>05/13/2018</t>
  </si>
  <si>
    <t>05/20/2018</t>
  </si>
  <si>
    <t>05/27/2018</t>
  </si>
  <si>
    <t>06/17/2018</t>
  </si>
  <si>
    <t>06/24/2018</t>
  </si>
  <si>
    <t>07/15/2018</t>
  </si>
  <si>
    <t>07/22/2018</t>
  </si>
  <si>
    <t>07/29/2018</t>
  </si>
  <si>
    <t>08/19/2018</t>
  </si>
  <si>
    <t>08/26/2018</t>
  </si>
  <si>
    <t>09/16/2018</t>
  </si>
  <si>
    <t>09/23/2018</t>
  </si>
  <si>
    <t>09/30/2018</t>
  </si>
  <si>
    <t>10/14/2018</t>
  </si>
  <si>
    <t>10/21/2018</t>
  </si>
  <si>
    <t>10/28/2018</t>
  </si>
  <si>
    <t>11/18/2018</t>
  </si>
  <si>
    <t>11/25/2018</t>
  </si>
  <si>
    <t>12/16/2018</t>
  </si>
  <si>
    <t>12/23/2018</t>
  </si>
  <si>
    <t>12/30/2018</t>
  </si>
  <si>
    <t>01/13/2019</t>
  </si>
  <si>
    <t>01/20/2019</t>
  </si>
  <si>
    <t>01/27/2019</t>
  </si>
  <si>
    <t>02/17/2019</t>
  </si>
  <si>
    <t>02/24/2019</t>
  </si>
  <si>
    <t>03/17/2019</t>
  </si>
  <si>
    <t>03/24/2019</t>
  </si>
  <si>
    <t>03/31/2019</t>
  </si>
  <si>
    <t>04/14/2019</t>
  </si>
  <si>
    <t>04/21/2019</t>
  </si>
  <si>
    <t>04/28/2019</t>
  </si>
  <si>
    <t>05/19/2019</t>
  </si>
  <si>
    <t>05/26/2019</t>
  </si>
  <si>
    <t>06/16/2019</t>
  </si>
  <si>
    <t>06/23/2019</t>
  </si>
  <si>
    <t>06/30/2019</t>
  </si>
  <si>
    <t>07/14/2019</t>
  </si>
  <si>
    <t>07/21/2019</t>
  </si>
  <si>
    <t>07/28/2019</t>
  </si>
  <si>
    <t>08/18/2019</t>
  </si>
  <si>
    <t>08/25/2019</t>
  </si>
  <si>
    <t>09/15/2019</t>
  </si>
  <si>
    <t>09/22/2019</t>
  </si>
  <si>
    <t>09/29/2019</t>
  </si>
  <si>
    <t>10/13/2019</t>
  </si>
  <si>
    <t>10/20/2019</t>
  </si>
  <si>
    <t>10/27/2019</t>
  </si>
  <si>
    <t>11/17/2019</t>
  </si>
  <si>
    <t>11/24/2019</t>
  </si>
  <si>
    <t>12/15/2019</t>
  </si>
  <si>
    <t>12/22/2019</t>
  </si>
  <si>
    <t>12/29/2019</t>
  </si>
  <si>
    <t>01/19/2020</t>
  </si>
  <si>
    <t>01/26/2020</t>
  </si>
  <si>
    <t>02/16/2020</t>
  </si>
  <si>
    <t>02/23/2020</t>
  </si>
  <si>
    <t>03/15/2020</t>
  </si>
  <si>
    <t>03/22/2020</t>
  </si>
  <si>
    <t>03/29/2020</t>
  </si>
  <si>
    <t>04/19/2020</t>
  </si>
  <si>
    <t>04/26/2020</t>
  </si>
  <si>
    <t>05/17/2020</t>
  </si>
  <si>
    <t>05/24/2020</t>
  </si>
  <si>
    <t>05/31/2020</t>
  </si>
  <si>
    <t>06/14/2020</t>
  </si>
  <si>
    <t>06/21/2020</t>
  </si>
  <si>
    <t>06/28/2020</t>
  </si>
  <si>
    <t>07/19/2020</t>
  </si>
  <si>
    <t>07/26/2020</t>
  </si>
  <si>
    <t>08/16/2020</t>
  </si>
  <si>
    <t>08/23/2020</t>
  </si>
  <si>
    <t>08/30/2020</t>
  </si>
  <si>
    <t>09/13/2020</t>
  </si>
  <si>
    <t>09/20/2020</t>
  </si>
  <si>
    <t>09/27/2020</t>
  </si>
  <si>
    <t>10/18/2020</t>
  </si>
  <si>
    <t>10/25/2020</t>
  </si>
  <si>
    <t>11/15/2020</t>
  </si>
  <si>
    <t>11/22/2020</t>
  </si>
  <si>
    <t>11/29/2020</t>
  </si>
  <si>
    <t>12/13/2020</t>
  </si>
  <si>
    <t>12/20/2020</t>
  </si>
  <si>
    <t>12/27/2020</t>
  </si>
  <si>
    <t>01/17/2021</t>
  </si>
  <si>
    <t>01/24/2021</t>
  </si>
  <si>
    <t>01/31/2021</t>
  </si>
  <si>
    <t>02/14/2021</t>
  </si>
  <si>
    <t>02/21/2021</t>
  </si>
  <si>
    <t>02/28/2021</t>
  </si>
  <si>
    <t>03/14/2021</t>
  </si>
  <si>
    <t>03/21/2021</t>
  </si>
  <si>
    <t>03/28/2021</t>
  </si>
  <si>
    <t>04/18/2021</t>
  </si>
  <si>
    <t>04/25/2021</t>
  </si>
  <si>
    <t>05/16/2021</t>
  </si>
  <si>
    <t>05/23/2021</t>
  </si>
  <si>
    <t>05/30/2021</t>
  </si>
  <si>
    <t>06/13/2021</t>
  </si>
  <si>
    <t>06/20/2021</t>
  </si>
  <si>
    <t>06/27/2021</t>
  </si>
  <si>
    <t>07/18/2021</t>
  </si>
  <si>
    <t>07/25/2021</t>
  </si>
  <si>
    <t>08/15/2021</t>
  </si>
  <si>
    <t>08/22/2021</t>
  </si>
  <si>
    <t>08/29/2021</t>
  </si>
  <si>
    <t>09/19/2021</t>
  </si>
  <si>
    <t>09/26/2021</t>
  </si>
  <si>
    <t>10/17/2021</t>
  </si>
  <si>
    <t>10/24/2021</t>
  </si>
  <si>
    <t>10/31/2021</t>
  </si>
  <si>
    <t>11/14/2021</t>
  </si>
  <si>
    <t>11/21/2021</t>
  </si>
  <si>
    <t>11/28/2021</t>
  </si>
  <si>
    <t>12/19/2021</t>
  </si>
  <si>
    <t>12/26/2021</t>
  </si>
  <si>
    <t>01/16/2022</t>
  </si>
  <si>
    <t>01/23/2022</t>
  </si>
  <si>
    <t>01/30/2022</t>
  </si>
  <si>
    <t>02/13/2022</t>
  </si>
  <si>
    <t>02/20/2022</t>
  </si>
  <si>
    <t>02/27/2022</t>
  </si>
  <si>
    <t>03/13/2022</t>
  </si>
  <si>
    <t>03/20/2022</t>
  </si>
  <si>
    <t>03/27/2022</t>
  </si>
  <si>
    <t>04/17/2022</t>
  </si>
  <si>
    <t>04/24/2022</t>
  </si>
  <si>
    <t>05/15/2022</t>
  </si>
  <si>
    <t>05/22/2022</t>
  </si>
  <si>
    <t>05/29/2022</t>
  </si>
  <si>
    <t>06/19/2022</t>
  </si>
  <si>
    <t>06/26/2022</t>
  </si>
  <si>
    <t>07/17/2022</t>
  </si>
  <si>
    <t>07/24/2022</t>
  </si>
  <si>
    <t>07/31/2022</t>
  </si>
  <si>
    <t>08/14/2022</t>
  </si>
  <si>
    <t>08/21/2022</t>
  </si>
  <si>
    <t>08/28/2022</t>
  </si>
  <si>
    <t>09/18/2022</t>
  </si>
  <si>
    <t>09/25/2022</t>
  </si>
  <si>
    <t>10/16/2022</t>
  </si>
  <si>
    <t>10/23/2022</t>
  </si>
  <si>
    <t>10/30/2022</t>
  </si>
  <si>
    <t>11/13/2022</t>
  </si>
  <si>
    <t>11/20/2022</t>
  </si>
  <si>
    <t>11/27/2022</t>
  </si>
  <si>
    <t>12/18/2022</t>
  </si>
  <si>
    <t>12/25/2022</t>
  </si>
  <si>
    <t>01/15/2023</t>
  </si>
  <si>
    <t>01/22/2023</t>
  </si>
  <si>
    <t>01/29/2023</t>
  </si>
  <si>
    <t>02/19/2023</t>
  </si>
  <si>
    <t>02/26/2023</t>
  </si>
  <si>
    <t>03/19/2023</t>
  </si>
  <si>
    <t>03/26/2023</t>
  </si>
  <si>
    <t>04/16/2023</t>
  </si>
  <si>
    <t>04/23/2023</t>
  </si>
  <si>
    <t>04/30/2023</t>
  </si>
  <si>
    <t>05/14/2023</t>
  </si>
  <si>
    <t>05/21/2023</t>
  </si>
  <si>
    <t>05/28/2023</t>
  </si>
  <si>
    <t>06/18/2023</t>
  </si>
  <si>
    <t>06/25/2023</t>
  </si>
  <si>
    <t>07/16/2023</t>
  </si>
  <si>
    <t>07/23/2023</t>
  </si>
  <si>
    <t>07/30/2023</t>
  </si>
  <si>
    <t>08/13/2023</t>
  </si>
  <si>
    <t>08/20/2023</t>
  </si>
  <si>
    <t>08/27/2023</t>
  </si>
  <si>
    <t>09/17/2023</t>
  </si>
  <si>
    <t>09/24/2023</t>
  </si>
  <si>
    <t>10/15/2023</t>
  </si>
  <si>
    <t>10/22/2023</t>
  </si>
  <si>
    <t>10/29/2023</t>
  </si>
  <si>
    <t>11/19/2023</t>
  </si>
  <si>
    <t>11/26/2023</t>
  </si>
  <si>
    <t>12/17/2023</t>
  </si>
  <si>
    <t>12/24/2023</t>
  </si>
  <si>
    <t>12/31/2023</t>
  </si>
  <si>
    <t>01/14/2024</t>
  </si>
  <si>
    <t>01/21/2024</t>
  </si>
  <si>
    <t>01/28/2024</t>
  </si>
  <si>
    <t>02/18/2024</t>
  </si>
  <si>
    <t>02/25/2024</t>
  </si>
  <si>
    <t>03/17/2024</t>
  </si>
  <si>
    <t>03/24/2024</t>
  </si>
  <si>
    <t>03/31/2024</t>
  </si>
  <si>
    <t>04/14/2024</t>
  </si>
  <si>
    <t>04/21/2024</t>
  </si>
  <si>
    <t>04/28/2024</t>
  </si>
  <si>
    <t>05/19/2024</t>
  </si>
  <si>
    <t>05/26/2024</t>
  </si>
  <si>
    <t>06/16/2024</t>
  </si>
  <si>
    <t>06/23/2024</t>
  </si>
  <si>
    <t>06/30/2024</t>
  </si>
  <si>
    <t>07/14/2024</t>
  </si>
  <si>
    <t>07/21/2024</t>
  </si>
  <si>
    <t>07/28/2024</t>
  </si>
  <si>
    <t>08/18/2024</t>
  </si>
  <si>
    <t>08/25/2024</t>
  </si>
  <si>
    <t>09/15/2024</t>
  </si>
  <si>
    <t>09/22/2024</t>
  </si>
  <si>
    <t>09/29/2024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</si>
  <si>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</si>
  <si>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</si>
  <si>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</si>
  <si>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</si>
  <si>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</si>
  <si>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</si>
  <si>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</si>
  <si>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12/29/2024</t>
  </si>
  <si>
    <t>01/19/2025</t>
  </si>
  <si>
    <t>01/26/2025</t>
  </si>
  <si>
    <t>02/16/2025</t>
  </si>
  <si>
    <t>02/23/2025</t>
  </si>
  <si>
    <t>03/16/2025</t>
  </si>
  <si>
    <t>03/23/2025</t>
  </si>
  <si>
    <t>03/30/2025</t>
  </si>
  <si>
    <t>04/13/2025</t>
  </si>
  <si>
    <t>04/20/2025</t>
  </si>
  <si>
    <t>04/27/2025</t>
  </si>
  <si>
    <t>05/18/2025</t>
  </si>
  <si>
    <t>05/25/2025</t>
  </si>
  <si>
    <t>06/15/2025</t>
  </si>
  <si>
    <t>06/22/2025</t>
  </si>
  <si>
    <t>06/29/2025</t>
  </si>
  <si>
    <t>07/13/2025</t>
  </si>
  <si>
    <t>07/20/2025</t>
  </si>
  <si>
    <t>07/27/2025</t>
  </si>
  <si>
    <t>08/17/2025</t>
  </si>
  <si>
    <t>08/24/2025</t>
  </si>
  <si>
    <t>08/31/2025</t>
  </si>
  <si>
    <t>09/14/2025</t>
  </si>
  <si>
    <t>09/21/2025</t>
  </si>
  <si>
    <t>09/28/2025</t>
  </si>
  <si>
    <t>10/19/2025</t>
  </si>
  <si>
    <t>10/26/2025</t>
  </si>
  <si>
    <t>11/16/2025</t>
  </si>
  <si>
    <t>11/23/2025</t>
  </si>
  <si>
    <t>11/30/2025</t>
  </si>
  <si>
    <t>12/14/2025</t>
  </si>
  <si>
    <t>12/21/2025</t>
  </si>
  <si>
    <t>12/28/2025</t>
  </si>
  <si>
    <t>01/18/2026</t>
  </si>
  <si>
    <t>01/25/2026</t>
  </si>
  <si>
    <t>02/15/2026</t>
  </si>
  <si>
    <t>02/22/2026</t>
  </si>
  <si>
    <t>03/15/2026</t>
  </si>
  <si>
    <t>03/22/2026</t>
  </si>
  <si>
    <t>03/29/2026</t>
  </si>
  <si>
    <t>04/19/2026</t>
  </si>
  <si>
    <t>04/26/2026</t>
  </si>
  <si>
    <t>05/17/2026</t>
  </si>
  <si>
    <t>05/24/2026</t>
  </si>
  <si>
    <t>05/31/2026</t>
  </si>
  <si>
    <t>06/14/2026</t>
  </si>
  <si>
    <t>06/21/2026</t>
  </si>
  <si>
    <t>06/28/2026</t>
  </si>
  <si>
    <t>07/19/2026</t>
  </si>
  <si>
    <t>07/26/2026</t>
  </si>
  <si>
    <t>08/16/2026</t>
  </si>
  <si>
    <t>08/23/2026</t>
  </si>
  <si>
    <t>08/30/2026</t>
  </si>
  <si>
    <t>09/13/2026</t>
  </si>
  <si>
    <t>09/20/2026</t>
  </si>
  <si>
    <t>09/27/2026</t>
  </si>
  <si>
    <t>10/18/2026</t>
  </si>
  <si>
    <t>Return</t>
  </si>
  <si>
    <t>Price</t>
  </si>
  <si>
    <t>Date</t>
  </si>
  <si>
    <t>Correlation Between Infosys and Nifty-500</t>
  </si>
  <si>
    <t>Nifty-500</t>
  </si>
  <si>
    <t>Standard Deviation of Infosys</t>
  </si>
  <si>
    <t>Standard Deviation of Nifty-500</t>
  </si>
  <si>
    <t>BETA(L)</t>
  </si>
  <si>
    <t>BETA(UL)</t>
  </si>
  <si>
    <t>BETA(L) Re-Check</t>
  </si>
  <si>
    <t>covariance Between Infosys And Nifty-500</t>
  </si>
  <si>
    <t>Variance of Nifty-500</t>
  </si>
  <si>
    <t>Equity</t>
  </si>
  <si>
    <t>Debt</t>
  </si>
  <si>
    <t>Weightage of Equity</t>
  </si>
  <si>
    <t>Weightage of Debt</t>
  </si>
  <si>
    <t>Cost of Debt</t>
  </si>
  <si>
    <t>Cost Equity</t>
  </si>
  <si>
    <t>Fixed Market Return</t>
  </si>
  <si>
    <t>Expected Market Return</t>
  </si>
  <si>
    <t>WACC</t>
  </si>
  <si>
    <t>India’s real GDP growth rate with Q1 FY 2026‑27 showing 7.8% growth</t>
  </si>
  <si>
    <t>India’s nominal GDP grew by 10.3% year‑on‑year in Q1 FY 2026‑27</t>
  </si>
  <si>
    <t>India’s annual inflation rate stood at 4.96% (YoY)</t>
  </si>
  <si>
    <t>Cap-Ex</t>
  </si>
  <si>
    <t>Net Working Capital</t>
  </si>
  <si>
    <t>ΔNet Working Capital</t>
  </si>
  <si>
    <t>FCFF</t>
  </si>
  <si>
    <t>Perpetualty Growth Rate</t>
  </si>
  <si>
    <t>Ternimal Value</t>
  </si>
  <si>
    <t>Discount Factor</t>
  </si>
  <si>
    <t>Period</t>
  </si>
  <si>
    <t>PV(FCFF)</t>
  </si>
  <si>
    <t>Intrinsic Value</t>
  </si>
  <si>
    <t>Price Per Share</t>
  </si>
  <si>
    <t>Market Captalization</t>
  </si>
  <si>
    <t>No. of Shares</t>
  </si>
  <si>
    <t>&lt;</t>
  </si>
  <si>
    <t>Market Price Per Share</t>
  </si>
  <si>
    <t>All Implied Value Per Share</t>
  </si>
  <si>
    <t>Shares are Undervalued</t>
  </si>
  <si>
    <t>BUY</t>
  </si>
  <si>
    <t xml:space="preserve">Shares are Undervalued </t>
  </si>
  <si>
    <t>&gt;</t>
  </si>
  <si>
    <t>Reuturn on Invested Capital Employed</t>
  </si>
  <si>
    <t>Shareholders Funds</t>
  </si>
  <si>
    <t>Total Shareholers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</si>
</sst>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mmm/yy\ &quot;A&quot;"/>
    <numFmt numFmtId="167" formatCode="mmm/yy\ &quot;F&quot;"/>
    <numFmt numFmtId="168" formatCode="#,##0;\(#,##0\)"/>
    <numFmt numFmtId="169" formatCode="_ * #,##0_ ;_ * \-#,##0_ ;_ * &quot;-&quot;??_ ;_ @_ "/>
    <numFmt numFmtId="170" formatCode="0.00&quot;x&quot;"/>
    <numFmt numFmtId="171" formatCode="0.0000"/>
    <numFmt numFmtId="172" formatCode="0.0%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0.5"/>
      <color theme="0" tint="-0.34998626667073579"/>
      <name val="Calibri"/>
      <family val="2"/>
      <scheme val="minor"/>
    </font>
    <font>
      <b/>
      <i/>
      <sz val="10.5"/>
      <color theme="0" tint="-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sz val="10.5"/>
      <color rgb="FF22222F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2" tint="-0.499984740745262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.6999999999999993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/>
      <right/>
      <top style="mediumDashDotDot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slantDashDot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 style="thin">
        <color indexed="64"/>
      </top>
      <bottom style="mediumDashed">
        <color auto="1"/>
      </bottom>
      <diagonal/>
    </border>
    <border>
      <left/>
      <right/>
      <top style="thin">
        <color indexed="64"/>
      </top>
      <bottom style="mediumDashed">
        <color auto="1"/>
      </bottom>
      <diagonal/>
    </border>
    <border>
      <left/>
      <right style="mediumDashed">
        <color auto="1"/>
      </right>
      <top style="thin">
        <color indexed="64"/>
      </top>
      <bottom style="mediumDashed">
        <color auto="1"/>
      </bottom>
      <diagonal/>
    </border>
    <border>
      <left style="mediumDashed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DashDot">
        <color auto="1"/>
      </right>
      <top/>
      <bottom style="thick">
        <color auto="1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 style="mediumDashDotDot">
        <color auto="1"/>
      </left>
      <right/>
      <top style="mediumDashed">
        <color auto="1"/>
      </top>
      <bottom style="mediumDashDotDot">
        <color auto="1"/>
      </bottom>
      <diagonal/>
    </border>
    <border>
      <left/>
      <right/>
      <top style="mediumDashed">
        <color auto="1"/>
      </top>
      <bottom style="mediumDashDotDot">
        <color auto="1"/>
      </bottom>
      <diagonal/>
    </border>
    <border>
      <left/>
      <right style="mediumDashDotDot">
        <color auto="1"/>
      </right>
      <top style="mediumDashed">
        <color auto="1"/>
      </top>
      <bottom style="mediumDashDotDot">
        <color auto="1"/>
      </bottom>
      <diagonal/>
    </border>
    <border>
      <left/>
      <right style="mediumDashDotDot">
        <color auto="1"/>
      </right>
      <top/>
      <bottom style="mediumDashDot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7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0" fillId="4" borderId="0" xfId="0" applyFill="1"/>
    <xf numFmtId="0" fontId="0" fillId="5" borderId="0" xfId="0" applyFill="1"/>
    <xf numFmtId="17" fontId="7" fillId="5" borderId="0" xfId="0" applyNumberFormat="1" applyFont="1" applyFill="1" applyAlignment="1">
      <alignment vertical="center" wrapText="1"/>
    </xf>
    <xf numFmtId="3" fontId="8" fillId="5" borderId="0" xfId="0" applyNumberFormat="1" applyFont="1" applyFill="1" applyAlignment="1">
      <alignment vertical="center" wrapText="1"/>
    </xf>
    <xf numFmtId="0" fontId="1" fillId="0" borderId="0" xfId="0" applyFont="1"/>
    <xf numFmtId="0" fontId="10" fillId="0" borderId="0" xfId="0" applyFont="1"/>
    <xf numFmtId="166" fontId="1" fillId="0" borderId="0" xfId="0" applyNumberFormat="1" applyFont="1"/>
    <xf numFmtId="0" fontId="0" fillId="0" borderId="0" xfId="0" applyAlignment="1">
      <alignment horizontal="right"/>
    </xf>
    <xf numFmtId="43" fontId="1" fillId="0" borderId="0" xfId="0" applyNumberFormat="1" applyFont="1"/>
    <xf numFmtId="9" fontId="13" fillId="6" borderId="0" xfId="4" applyFont="1" applyFill="1"/>
    <xf numFmtId="9" fontId="13" fillId="6" borderId="0" xfId="4" applyFont="1" applyFill="1" applyAlignment="1"/>
    <xf numFmtId="9" fontId="14" fillId="6" borderId="0" xfId="4" applyFont="1" applyFill="1" applyAlignment="1">
      <alignment horizontal="right"/>
    </xf>
    <xf numFmtId="0" fontId="13" fillId="6" borderId="0" xfId="0" applyFont="1" applyFill="1"/>
    <xf numFmtId="166" fontId="2" fillId="8" borderId="0" xfId="0" applyNumberFormat="1" applyFont="1" applyFill="1"/>
    <xf numFmtId="166" fontId="2" fillId="8" borderId="0" xfId="0" applyNumberFormat="1" applyFont="1" applyFill="1" applyAlignment="1">
      <alignment horizontal="right"/>
    </xf>
    <xf numFmtId="167" fontId="1" fillId="9" borderId="0" xfId="0" applyNumberFormat="1" applyFont="1" applyFill="1" applyAlignment="1">
      <alignment horizontal="right"/>
    </xf>
    <xf numFmtId="0" fontId="1" fillId="5" borderId="0" xfId="0" applyFont="1" applyFill="1"/>
    <xf numFmtId="9" fontId="13" fillId="5" borderId="0" xfId="4" applyFont="1" applyFill="1" applyAlignment="1"/>
    <xf numFmtId="0" fontId="13" fillId="5" borderId="0" xfId="0" applyFont="1" applyFill="1"/>
    <xf numFmtId="9" fontId="13" fillId="5" borderId="0" xfId="4" applyFont="1" applyFill="1"/>
    <xf numFmtId="167" fontId="1" fillId="9" borderId="0" xfId="0" applyNumberFormat="1" applyFont="1" applyFill="1"/>
    <xf numFmtId="9" fontId="15" fillId="5" borderId="0" xfId="4" applyFont="1" applyFill="1" applyAlignment="1"/>
    <xf numFmtId="43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3" fontId="1" fillId="0" borderId="2" xfId="0" applyNumberFormat="1" applyFont="1" applyBorder="1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9" fontId="13" fillId="10" borderId="0" xfId="4" applyFont="1" applyFill="1" applyAlignment="1"/>
    <xf numFmtId="168" fontId="8" fillId="5" borderId="0" xfId="0" applyNumberFormat="1" applyFont="1" applyFill="1" applyAlignment="1">
      <alignment vertical="center" wrapText="1"/>
    </xf>
    <xf numFmtId="168" fontId="9" fillId="5" borderId="0" xfId="0" applyNumberFormat="1" applyFont="1" applyFill="1" applyAlignment="1">
      <alignment vertical="center" wrapText="1"/>
    </xf>
    <xf numFmtId="0" fontId="18" fillId="4" borderId="0" xfId="0" applyFont="1" applyFill="1" applyAlignment="1">
      <alignment horizontal="left" vertical="center"/>
    </xf>
    <xf numFmtId="168" fontId="17" fillId="5" borderId="0" xfId="0" applyNumberFormat="1" applyFont="1" applyFill="1" applyAlignment="1">
      <alignment vertical="center" wrapText="1"/>
    </xf>
    <xf numFmtId="168" fontId="19" fillId="5" borderId="0" xfId="0" applyNumberFormat="1" applyFont="1" applyFill="1" applyAlignment="1">
      <alignment vertical="center" wrapText="1"/>
    </xf>
    <xf numFmtId="0" fontId="19" fillId="4" borderId="0" xfId="0" applyFont="1" applyFill="1" applyAlignment="1">
      <alignment horizontal="right" vertical="center" wrapText="1"/>
    </xf>
    <xf numFmtId="3" fontId="19" fillId="4" borderId="0" xfId="0" applyNumberFormat="1" applyFont="1" applyFill="1" applyAlignment="1">
      <alignment horizontal="right" vertical="center" wrapText="1"/>
    </xf>
    <xf numFmtId="0" fontId="0" fillId="5" borderId="0" xfId="0" applyFill="1" applyAlignment="1">
      <alignment horizontal="left"/>
    </xf>
    <xf numFmtId="0" fontId="17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68" fontId="1" fillId="0" borderId="0" xfId="0" applyNumberFormat="1" applyFont="1"/>
    <xf numFmtId="168" fontId="11" fillId="0" borderId="0" xfId="0" applyNumberFormat="1" applyFont="1" applyAlignment="1">
      <alignment horizontal="right"/>
    </xf>
    <xf numFmtId="168" fontId="1" fillId="0" borderId="1" xfId="0" applyNumberFormat="1" applyFont="1" applyBorder="1" applyAlignment="1">
      <alignment horizontal="right"/>
    </xf>
    <xf numFmtId="168" fontId="0" fillId="0" borderId="0" xfId="0" applyNumberFormat="1" applyAlignment="1">
      <alignment horizontal="right"/>
    </xf>
    <xf numFmtId="168" fontId="1" fillId="0" borderId="0" xfId="0" applyNumberFormat="1" applyFont="1" applyAlignment="1">
      <alignment horizontal="right"/>
    </xf>
    <xf numFmtId="168" fontId="1" fillId="0" borderId="2" xfId="0" applyNumberFormat="1" applyFont="1" applyBorder="1" applyAlignment="1">
      <alignment horizontal="right"/>
    </xf>
    <xf numFmtId="168" fontId="11" fillId="0" borderId="0" xfId="0" applyNumberFormat="1" applyFont="1"/>
    <xf numFmtId="168" fontId="12" fillId="0" borderId="0" xfId="0" applyNumberFormat="1" applyFont="1" applyAlignment="1">
      <alignment horizontal="right"/>
    </xf>
    <xf numFmtId="168" fontId="1" fillId="0" borderId="2" xfId="0" applyNumberFormat="1" applyFont="1" applyBorder="1"/>
    <xf numFmtId="9" fontId="13" fillId="10" borderId="0" xfId="4" applyFont="1" applyFill="1"/>
    <xf numFmtId="9" fontId="14" fillId="10" borderId="0" xfId="4" applyFont="1" applyFill="1" applyAlignment="1">
      <alignment horizontal="right"/>
    </xf>
    <xf numFmtId="9" fontId="0" fillId="0" borderId="0" xfId="0" applyNumberFormat="1"/>
    <xf numFmtId="168" fontId="12" fillId="0" borderId="0" xfId="0" applyNumberFormat="1" applyFont="1"/>
    <xf numFmtId="9" fontId="1" fillId="5" borderId="0" xfId="0" applyNumberFormat="1" applyFont="1" applyFill="1"/>
    <xf numFmtId="169" fontId="0" fillId="0" borderId="0" xfId="0" applyNumberFormat="1"/>
    <xf numFmtId="169" fontId="1" fillId="0" borderId="0" xfId="0" applyNumberFormat="1" applyFont="1"/>
    <xf numFmtId="169" fontId="0" fillId="0" borderId="9" xfId="0" applyNumberFormat="1" applyBorder="1"/>
    <xf numFmtId="169" fontId="0" fillId="0" borderId="10" xfId="0" applyNumberFormat="1" applyBorder="1"/>
    <xf numFmtId="0" fontId="0" fillId="0" borderId="9" xfId="0" applyBorder="1"/>
    <xf numFmtId="0" fontId="0" fillId="0" borderId="10" xfId="0" applyBorder="1"/>
    <xf numFmtId="43" fontId="0" fillId="0" borderId="9" xfId="0" applyNumberFormat="1" applyBorder="1"/>
    <xf numFmtId="43" fontId="0" fillId="0" borderId="10" xfId="0" applyNumberFormat="1" applyBorder="1"/>
    <xf numFmtId="43" fontId="0" fillId="0" borderId="11" xfId="0" applyNumberFormat="1" applyBorder="1"/>
    <xf numFmtId="43" fontId="0" fillId="0" borderId="12" xfId="0" applyNumberFormat="1" applyBorder="1"/>
    <xf numFmtId="43" fontId="0" fillId="0" borderId="13" xfId="0" applyNumberFormat="1" applyBorder="1"/>
    <xf numFmtId="169" fontId="1" fillId="0" borderId="14" xfId="0" applyNumberFormat="1" applyFont="1" applyBorder="1"/>
    <xf numFmtId="169" fontId="1" fillId="0" borderId="15" xfId="0" applyNumberFormat="1" applyFont="1" applyBorder="1"/>
    <xf numFmtId="169" fontId="1" fillId="0" borderId="16" xfId="0" applyNumberFormat="1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43" fontId="1" fillId="0" borderId="17" xfId="0" applyNumberFormat="1" applyFont="1" applyBorder="1"/>
    <xf numFmtId="43" fontId="1" fillId="0" borderId="2" xfId="0" applyNumberFormat="1" applyFont="1" applyBorder="1"/>
    <xf numFmtId="43" fontId="1" fillId="0" borderId="18" xfId="0" applyNumberFormat="1" applyFont="1" applyBorder="1"/>
    <xf numFmtId="0" fontId="1" fillId="0" borderId="19" xfId="0" applyFont="1" applyBorder="1"/>
    <xf numFmtId="0" fontId="0" fillId="0" borderId="19" xfId="0" applyBorder="1"/>
    <xf numFmtId="1" fontId="0" fillId="0" borderId="0" xfId="0" applyNumberFormat="1"/>
    <xf numFmtId="9" fontId="0" fillId="0" borderId="0" xfId="4" applyFont="1" applyBorder="1"/>
    <xf numFmtId="1" fontId="1" fillId="0" borderId="0" xfId="0" applyNumberFormat="1" applyFont="1"/>
    <xf numFmtId="1" fontId="1" fillId="0" borderId="21" xfId="0" applyNumberFormat="1" applyFont="1" applyBorder="1"/>
    <xf numFmtId="0" fontId="0" fillId="0" borderId="21" xfId="0" applyBorder="1"/>
    <xf numFmtId="0" fontId="1" fillId="0" borderId="21" xfId="0" applyFont="1" applyBorder="1"/>
    <xf numFmtId="9" fontId="0" fillId="0" borderId="21" xfId="4" applyFont="1" applyBorder="1"/>
    <xf numFmtId="43" fontId="1" fillId="0" borderId="21" xfId="0" applyNumberFormat="1" applyFont="1" applyBorder="1"/>
    <xf numFmtId="169" fontId="1" fillId="0" borderId="21" xfId="0" applyNumberFormat="1" applyFont="1" applyBorder="1"/>
    <xf numFmtId="169" fontId="0" fillId="0" borderId="21" xfId="0" applyNumberFormat="1" applyBorder="1"/>
    <xf numFmtId="43" fontId="0" fillId="0" borderId="21" xfId="0" applyNumberFormat="1" applyBorder="1"/>
    <xf numFmtId="1" fontId="0" fillId="0" borderId="21" xfId="0" applyNumberFormat="1" applyBorder="1"/>
    <xf numFmtId="9" fontId="0" fillId="0" borderId="21" xfId="0" applyNumberFormat="1" applyBorder="1"/>
    <xf numFmtId="9" fontId="0" fillId="0" borderId="20" xfId="0" applyNumberFormat="1" applyBorder="1"/>
    <xf numFmtId="0" fontId="1" fillId="0" borderId="22" xfId="0" applyFont="1" applyBorder="1"/>
    <xf numFmtId="1" fontId="1" fillId="0" borderId="23" xfId="0" applyNumberFormat="1" applyFont="1" applyBorder="1"/>
    <xf numFmtId="9" fontId="1" fillId="0" borderId="0" xfId="4" applyFont="1" applyBorder="1"/>
    <xf numFmtId="0" fontId="0" fillId="0" borderId="23" xfId="0" applyBorder="1"/>
    <xf numFmtId="0" fontId="1" fillId="0" borderId="23" xfId="0" applyFont="1" applyBorder="1"/>
    <xf numFmtId="0" fontId="0" fillId="0" borderId="22" xfId="0" applyBorder="1"/>
    <xf numFmtId="9" fontId="0" fillId="0" borderId="23" xfId="4" applyFont="1" applyBorder="1"/>
    <xf numFmtId="43" fontId="1" fillId="0" borderId="22" xfId="0" applyNumberFormat="1" applyFont="1" applyBorder="1"/>
    <xf numFmtId="43" fontId="1" fillId="0" borderId="23" xfId="0" applyNumberFormat="1" applyFont="1" applyBorder="1"/>
    <xf numFmtId="169" fontId="1" fillId="0" borderId="23" xfId="0" applyNumberFormat="1" applyFont="1" applyBorder="1"/>
    <xf numFmtId="169" fontId="0" fillId="0" borderId="23" xfId="0" applyNumberFormat="1" applyBorder="1"/>
    <xf numFmtId="43" fontId="0" fillId="0" borderId="23" xfId="0" applyNumberFormat="1" applyBorder="1"/>
    <xf numFmtId="43" fontId="0" fillId="0" borderId="22" xfId="0" applyNumberFormat="1" applyBorder="1"/>
    <xf numFmtId="1" fontId="0" fillId="0" borderId="23" xfId="0" applyNumberFormat="1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9" fontId="0" fillId="0" borderId="26" xfId="0" applyNumberFormat="1" applyBorder="1"/>
    <xf numFmtId="166" fontId="2" fillId="8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Alignment="1">
      <alignment horizontal="right"/>
    </xf>
    <xf numFmtId="0" fontId="0" fillId="5" borderId="0" xfId="0" applyFill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9" fontId="0" fillId="0" borderId="0" xfId="4" applyFont="1" applyAlignment="1">
      <alignment horizontal="right"/>
    </xf>
    <xf numFmtId="170" fontId="0" fillId="0" borderId="0" xfId="0" applyNumberFormat="1" applyAlignment="1">
      <alignment horizontal="right"/>
    </xf>
    <xf numFmtId="170" fontId="0" fillId="0" borderId="0" xfId="4" applyNumberFormat="1" applyFont="1" applyAlignment="1">
      <alignment horizontal="right"/>
    </xf>
    <xf numFmtId="9" fontId="1" fillId="0" borderId="0" xfId="4" applyFont="1" applyAlignment="1">
      <alignment horizontal="right"/>
    </xf>
    <xf numFmtId="168" fontId="0" fillId="5" borderId="0" xfId="0" applyNumberFormat="1" applyFill="1"/>
    <xf numFmtId="0" fontId="0" fillId="11" borderId="0" xfId="0" applyFill="1" applyAlignment="1">
      <alignment horizontal="right"/>
    </xf>
    <xf numFmtId="9" fontId="0" fillId="11" borderId="0" xfId="0" applyNumberFormat="1" applyFill="1" applyAlignment="1">
      <alignment horizontal="right"/>
    </xf>
    <xf numFmtId="9" fontId="0" fillId="11" borderId="0" xfId="4" applyFont="1" applyFill="1" applyAlignment="1">
      <alignment horizontal="right"/>
    </xf>
    <xf numFmtId="170" fontId="0" fillId="11" borderId="0" xfId="4" applyNumberFormat="1" applyFont="1" applyFill="1" applyAlignment="1">
      <alignment horizontal="right"/>
    </xf>
    <xf numFmtId="170" fontId="0" fillId="11" borderId="0" xfId="0" applyNumberFormat="1" applyFill="1" applyAlignment="1">
      <alignment horizontal="right"/>
    </xf>
    <xf numFmtId="2" fontId="0" fillId="11" borderId="0" xfId="0" applyNumberFormat="1" applyFill="1" applyAlignment="1">
      <alignment horizontal="right"/>
    </xf>
    <xf numFmtId="1" fontId="0" fillId="11" borderId="0" xfId="0" applyNumberFormat="1" applyFill="1" applyAlignment="1">
      <alignment horizontal="right"/>
    </xf>
    <xf numFmtId="1" fontId="1" fillId="11" borderId="0" xfId="0" applyNumberFormat="1" applyFont="1" applyFill="1" applyAlignment="1">
      <alignment horizontal="right"/>
    </xf>
    <xf numFmtId="9" fontId="1" fillId="11" borderId="0" xfId="4" applyFont="1" applyFill="1" applyAlignment="1">
      <alignment horizontal="right"/>
    </xf>
    <xf numFmtId="168" fontId="11" fillId="11" borderId="0" xfId="0" applyNumberFormat="1" applyFont="1" applyFill="1" applyAlignment="1">
      <alignment horizontal="right"/>
    </xf>
    <xf numFmtId="168" fontId="1" fillId="11" borderId="3" xfId="0" applyNumberFormat="1" applyFont="1" applyFill="1" applyBorder="1" applyAlignment="1">
      <alignment horizontal="right"/>
    </xf>
    <xf numFmtId="168" fontId="1" fillId="11" borderId="1" xfId="0" applyNumberFormat="1" applyFont="1" applyFill="1" applyBorder="1" applyAlignment="1">
      <alignment horizontal="right"/>
    </xf>
    <xf numFmtId="168" fontId="1" fillId="11" borderId="2" xfId="0" applyNumberFormat="1" applyFont="1" applyFill="1" applyBorder="1" applyAlignment="1">
      <alignment horizontal="right"/>
    </xf>
    <xf numFmtId="0" fontId="0" fillId="11" borderId="0" xfId="0" applyFill="1"/>
    <xf numFmtId="168" fontId="11" fillId="11" borderId="0" xfId="0" applyNumberFormat="1" applyFont="1" applyFill="1"/>
    <xf numFmtId="168" fontId="0" fillId="11" borderId="0" xfId="0" applyNumberFormat="1" applyFill="1"/>
    <xf numFmtId="168" fontId="1" fillId="11" borderId="0" xfId="0" applyNumberFormat="1" applyFont="1" applyFill="1" applyAlignment="1">
      <alignment horizontal="right"/>
    </xf>
    <xf numFmtId="168" fontId="12" fillId="11" borderId="5" xfId="0" applyNumberFormat="1" applyFont="1" applyFill="1" applyBorder="1" applyAlignment="1">
      <alignment horizontal="right"/>
    </xf>
    <xf numFmtId="168" fontId="1" fillId="11" borderId="5" xfId="0" applyNumberFormat="1" applyFont="1" applyFill="1" applyBorder="1" applyAlignment="1">
      <alignment horizontal="right"/>
    </xf>
    <xf numFmtId="168" fontId="12" fillId="11" borderId="0" xfId="0" applyNumberFormat="1" applyFont="1" applyFill="1"/>
    <xf numFmtId="0" fontId="1" fillId="0" borderId="29" xfId="0" applyFont="1" applyBorder="1"/>
    <xf numFmtId="0" fontId="1" fillId="0" borderId="27" xfId="0" applyFont="1" applyBorder="1"/>
    <xf numFmtId="9" fontId="11" fillId="0" borderId="3" xfId="0" applyNumberFormat="1" applyFont="1" applyBorder="1"/>
    <xf numFmtId="9" fontId="11" fillId="11" borderId="3" xfId="0" applyNumberFormat="1" applyFont="1" applyFill="1" applyBorder="1"/>
    <xf numFmtId="9" fontId="11" fillId="11" borderId="28" xfId="0" applyNumberFormat="1" applyFont="1" applyFill="1" applyBorder="1"/>
    <xf numFmtId="0" fontId="1" fillId="0" borderId="32" xfId="0" applyFont="1" applyBorder="1"/>
    <xf numFmtId="170" fontId="11" fillId="0" borderId="0" xfId="0" applyNumberFormat="1" applyFont="1"/>
    <xf numFmtId="170" fontId="11" fillId="11" borderId="0" xfId="0" applyNumberFormat="1" applyFont="1" applyFill="1"/>
    <xf numFmtId="170" fontId="11" fillId="11" borderId="33" xfId="0" applyNumberFormat="1" applyFont="1" applyFill="1" applyBorder="1"/>
    <xf numFmtId="9" fontId="11" fillId="0" borderId="0" xfId="4" applyFont="1" applyBorder="1"/>
    <xf numFmtId="9" fontId="11" fillId="11" borderId="0" xfId="4" applyFont="1" applyFill="1" applyBorder="1"/>
    <xf numFmtId="9" fontId="11" fillId="11" borderId="33" xfId="4" applyFont="1" applyFill="1" applyBorder="1"/>
    <xf numFmtId="170" fontId="11" fillId="0" borderId="30" xfId="0" applyNumberFormat="1" applyFont="1" applyBorder="1"/>
    <xf numFmtId="170" fontId="11" fillId="11" borderId="30" xfId="0" applyNumberFormat="1" applyFont="1" applyFill="1" applyBorder="1"/>
    <xf numFmtId="170" fontId="11" fillId="11" borderId="31" xfId="0" applyNumberFormat="1" applyFont="1" applyFill="1" applyBorder="1"/>
    <xf numFmtId="0" fontId="1" fillId="0" borderId="34" xfId="0" applyFont="1" applyBorder="1"/>
    <xf numFmtId="9" fontId="1" fillId="0" borderId="35" xfId="4" applyFont="1" applyBorder="1"/>
    <xf numFmtId="9" fontId="1" fillId="11" borderId="35" xfId="4" applyFont="1" applyFill="1" applyBorder="1"/>
    <xf numFmtId="9" fontId="1" fillId="11" borderId="36" xfId="4" applyFont="1" applyFill="1" applyBorder="1"/>
    <xf numFmtId="0" fontId="20" fillId="0" borderId="0" xfId="0" applyFont="1" applyAlignment="1">
      <alignment horizontal="right"/>
    </xf>
    <xf numFmtId="0" fontId="16" fillId="5" borderId="0" xfId="0" applyFont="1" applyFill="1" applyAlignment="1">
      <alignment horizontal="center"/>
    </xf>
    <xf numFmtId="2" fontId="0" fillId="0" borderId="0" xfId="0" applyNumberFormat="1"/>
    <xf numFmtId="168" fontId="0" fillId="0" borderId="0" xfId="0" applyNumberFormat="1"/>
    <xf numFmtId="168" fontId="0" fillId="0" borderId="39" xfId="0" applyNumberFormat="1" applyBorder="1"/>
    <xf numFmtId="168" fontId="0" fillId="0" borderId="39" xfId="0" applyNumberFormat="1" applyBorder="1" applyAlignment="1">
      <alignment horizontal="right"/>
    </xf>
    <xf numFmtId="168" fontId="22" fillId="0" borderId="0" xfId="0" applyNumberFormat="1" applyFont="1"/>
    <xf numFmtId="168" fontId="22" fillId="0" borderId="39" xfId="0" applyNumberFormat="1" applyFont="1" applyBorder="1" applyAlignment="1">
      <alignment horizontal="right"/>
    </xf>
    <xf numFmtId="170" fontId="0" fillId="0" borderId="0" xfId="0" applyNumberFormat="1"/>
    <xf numFmtId="0" fontId="1" fillId="12" borderId="0" xfId="0" applyFont="1" applyFill="1"/>
    <xf numFmtId="0" fontId="0" fillId="12" borderId="0" xfId="0" applyFill="1"/>
    <xf numFmtId="170" fontId="0" fillId="12" borderId="0" xfId="0" applyNumberFormat="1" applyFill="1"/>
    <xf numFmtId="0" fontId="0" fillId="13" borderId="0" xfId="0" applyFill="1"/>
    <xf numFmtId="0" fontId="0" fillId="14" borderId="0" xfId="0" applyFill="1"/>
    <xf numFmtId="170" fontId="5" fillId="13" borderId="0" xfId="0" applyNumberFormat="1" applyFont="1" applyFill="1"/>
    <xf numFmtId="170" fontId="5" fillId="14" borderId="0" xfId="0" applyNumberFormat="1" applyFont="1" applyFill="1"/>
    <xf numFmtId="0" fontId="2" fillId="13" borderId="0" xfId="0" applyFont="1" applyFill="1"/>
    <xf numFmtId="0" fontId="2" fillId="14" borderId="0" xfId="0" applyFont="1" applyFill="1"/>
    <xf numFmtId="170" fontId="0" fillId="5" borderId="0" xfId="0" applyNumberFormat="1" applyFill="1"/>
    <xf numFmtId="43" fontId="1" fillId="15" borderId="0" xfId="0" applyNumberFormat="1" applyFont="1" applyFill="1"/>
    <xf numFmtId="0" fontId="2" fillId="7" borderId="0" xfId="0" applyFont="1" applyFill="1"/>
    <xf numFmtId="168" fontId="2" fillId="7" borderId="39" xfId="0" applyNumberFormat="1" applyFont="1" applyFill="1" applyBorder="1" applyAlignment="1">
      <alignment horizontal="right"/>
    </xf>
    <xf numFmtId="14" fontId="0" fillId="0" borderId="0" xfId="0" applyNumberFormat="1"/>
    <xf numFmtId="0" fontId="21" fillId="0" borderId="0" xfId="0" applyFont="1"/>
    <xf numFmtId="0" fontId="23" fillId="0" borderId="0" xfId="0" applyFont="1"/>
    <xf numFmtId="0" fontId="21" fillId="0" borderId="0" xfId="0" applyFont="1" applyAlignment="1">
      <alignment horizontal="right"/>
    </xf>
    <xf numFmtId="0" fontId="16" fillId="5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left"/>
    </xf>
    <xf numFmtId="0" fontId="24" fillId="12" borderId="0" xfId="0" applyFont="1" applyFill="1" applyAlignment="1">
      <alignment horizontal="left"/>
    </xf>
    <xf numFmtId="10" fontId="1" fillId="12" borderId="0" xfId="4" applyNumberFormat="1" applyFont="1" applyFill="1" applyAlignment="1">
      <alignment horizontal="right"/>
    </xf>
    <xf numFmtId="3" fontId="27" fillId="0" borderId="10" xfId="0" applyNumberFormat="1" applyFont="1" applyBorder="1" applyAlignment="1">
      <alignment horizontal="right"/>
    </xf>
    <xf numFmtId="2" fontId="25" fillId="0" borderId="10" xfId="0" applyNumberFormat="1" applyFont="1" applyBorder="1" applyAlignment="1">
      <alignment horizontal="right"/>
    </xf>
    <xf numFmtId="10" fontId="25" fillId="0" borderId="10" xfId="4" applyNumberFormat="1" applyFont="1" applyBorder="1" applyAlignment="1">
      <alignment horizontal="right"/>
    </xf>
    <xf numFmtId="172" fontId="27" fillId="0" borderId="10" xfId="0" applyNumberFormat="1" applyFont="1" applyBorder="1"/>
    <xf numFmtId="10" fontId="27" fillId="0" borderId="10" xfId="4" applyNumberFormat="1" applyFont="1" applyBorder="1" applyAlignment="1">
      <alignment horizontal="right"/>
    </xf>
    <xf numFmtId="2" fontId="25" fillId="0" borderId="13" xfId="0" applyNumberFormat="1" applyFont="1" applyBorder="1" applyAlignment="1">
      <alignment horizontal="right"/>
    </xf>
    <xf numFmtId="0" fontId="28" fillId="0" borderId="41" xfId="0" applyFont="1" applyBorder="1"/>
    <xf numFmtId="0" fontId="28" fillId="0" borderId="0" xfId="0" applyFont="1"/>
    <xf numFmtId="0" fontId="28" fillId="0" borderId="37" xfId="0" applyFont="1" applyBorder="1"/>
    <xf numFmtId="0" fontId="29" fillId="0" borderId="45" xfId="0" applyFont="1" applyBorder="1"/>
    <xf numFmtId="0" fontId="29" fillId="0" borderId="46" xfId="0" applyFont="1" applyBorder="1"/>
    <xf numFmtId="0" fontId="29" fillId="0" borderId="47" xfId="0" applyFont="1" applyBorder="1"/>
    <xf numFmtId="0" fontId="28" fillId="0" borderId="42" xfId="0" applyFont="1" applyBorder="1"/>
    <xf numFmtId="0" fontId="28" fillId="0" borderId="43" xfId="0" applyFont="1" applyBorder="1"/>
    <xf numFmtId="0" fontId="28" fillId="0" borderId="44" xfId="0" applyFont="1" applyBorder="1"/>
    <xf numFmtId="0" fontId="25" fillId="0" borderId="9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30" fillId="0" borderId="0" xfId="0" applyFont="1"/>
    <xf numFmtId="1" fontId="25" fillId="0" borderId="0" xfId="0" applyNumberFormat="1" applyFont="1"/>
    <xf numFmtId="1" fontId="25" fillId="0" borderId="23" xfId="0" applyNumberFormat="1" applyFont="1" applyBorder="1"/>
    <xf numFmtId="0" fontId="30" fillId="0" borderId="22" xfId="0" applyFont="1" applyBorder="1" applyAlignment="1">
      <alignment horizontal="left"/>
    </xf>
    <xf numFmtId="0" fontId="24" fillId="0" borderId="51" xfId="0" applyFont="1" applyBorder="1" applyAlignment="1">
      <alignment horizontal="left"/>
    </xf>
    <xf numFmtId="0" fontId="1" fillId="0" borderId="52" xfId="0" applyFont="1" applyBorder="1"/>
    <xf numFmtId="1" fontId="1" fillId="0" borderId="52" xfId="0" applyNumberFormat="1" applyFont="1" applyBorder="1"/>
    <xf numFmtId="10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71" fontId="0" fillId="0" borderId="0" xfId="0" applyNumberFormat="1" applyAlignment="1">
      <alignment horizontal="right"/>
    </xf>
    <xf numFmtId="166" fontId="2" fillId="13" borderId="0" xfId="0" applyNumberFormat="1" applyFont="1" applyFill="1"/>
    <xf numFmtId="166" fontId="2" fillId="13" borderId="0" xfId="0" applyNumberFormat="1" applyFont="1" applyFill="1" applyAlignment="1">
      <alignment horizontal="center"/>
    </xf>
    <xf numFmtId="166" fontId="2" fillId="13" borderId="40" xfId="0" applyNumberFormat="1" applyFont="1" applyFill="1" applyBorder="1" applyAlignment="1">
      <alignment horizontal="right"/>
    </xf>
    <xf numFmtId="166" fontId="2" fillId="13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31" fillId="0" borderId="0" xfId="0" applyFont="1" applyAlignment="1">
      <alignment horizontal="right"/>
    </xf>
    <xf numFmtId="2" fontId="3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left"/>
    </xf>
    <xf numFmtId="0" fontId="32" fillId="0" borderId="0" xfId="0" applyFont="1"/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2" xfId="0" applyFont="1" applyBorder="1"/>
    <xf numFmtId="0" fontId="0" fillId="0" borderId="2" xfId="0" applyBorder="1"/>
    <xf numFmtId="10" fontId="35" fillId="0" borderId="0" xfId="4" applyNumberFormat="1" applyFont="1" applyAlignment="1">
      <alignment horizontal="left"/>
    </xf>
    <xf numFmtId="0" fontId="36" fillId="0" borderId="0" xfId="0" applyFont="1"/>
    <xf numFmtId="167" fontId="1" fillId="5" borderId="0" xfId="0" applyNumberFormat="1" applyFont="1" applyFill="1" applyAlignment="1">
      <alignment horizontal="right"/>
    </xf>
    <xf numFmtId="43" fontId="0" fillId="0" borderId="53" xfId="0" applyNumberFormat="1" applyBorder="1" applyAlignment="1">
      <alignment horizontal="left"/>
    </xf>
    <xf numFmtId="9" fontId="0" fillId="0" borderId="54" xfId="4" applyFont="1" applyBorder="1"/>
    <xf numFmtId="43" fontId="0" fillId="0" borderId="55" xfId="0" applyNumberFormat="1" applyBorder="1" applyAlignment="1">
      <alignment horizontal="left"/>
    </xf>
    <xf numFmtId="9" fontId="0" fillId="0" borderId="56" xfId="4" applyFont="1" applyBorder="1"/>
    <xf numFmtId="9" fontId="0" fillId="0" borderId="57" xfId="4" applyFont="1" applyBorder="1"/>
    <xf numFmtId="17" fontId="2" fillId="8" borderId="0" xfId="0" applyNumberFormat="1" applyFont="1" applyFill="1" applyAlignment="1">
      <alignment horizontal="right"/>
    </xf>
    <xf numFmtId="43" fontId="0" fillId="0" borderId="53" xfId="0" applyNumberFormat="1" applyBorder="1"/>
    <xf numFmtId="0" fontId="0" fillId="0" borderId="53" xfId="0" applyBorder="1"/>
    <xf numFmtId="43" fontId="1" fillId="0" borderId="58" xfId="0" applyNumberFormat="1" applyFont="1" applyBorder="1"/>
    <xf numFmtId="9" fontId="1" fillId="0" borderId="59" xfId="4" applyFont="1" applyBorder="1"/>
    <xf numFmtId="9" fontId="1" fillId="0" borderId="60" xfId="4" applyFont="1" applyBorder="1"/>
    <xf numFmtId="4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1" fontId="1" fillId="0" borderId="61" xfId="0" applyNumberFormat="1" applyFont="1" applyBorder="1"/>
    <xf numFmtId="0" fontId="10" fillId="12" borderId="0" xfId="0" applyFont="1" applyFill="1"/>
    <xf numFmtId="1" fontId="10" fillId="12" borderId="0" xfId="0" applyNumberFormat="1" applyFont="1" applyFill="1"/>
    <xf numFmtId="0" fontId="16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8" fontId="26" fillId="13" borderId="0" xfId="0" applyNumberFormat="1" applyFont="1" applyFill="1" applyAlignment="1">
      <alignment horizontal="center"/>
    </xf>
    <xf numFmtId="168" fontId="2" fillId="13" borderId="48" xfId="0" applyNumberFormat="1" applyFont="1" applyFill="1" applyBorder="1" applyAlignment="1">
      <alignment horizontal="center"/>
    </xf>
    <xf numFmtId="168" fontId="2" fillId="13" borderId="49" xfId="0" applyNumberFormat="1" applyFont="1" applyFill="1" applyBorder="1" applyAlignment="1">
      <alignment horizontal="center"/>
    </xf>
    <xf numFmtId="168" fontId="2" fillId="13" borderId="50" xfId="0" applyNumberFormat="1" applyFont="1" applyFill="1" applyBorder="1" applyAlignment="1">
      <alignment horizontal="center"/>
    </xf>
    <xf numFmtId="166" fontId="2" fillId="13" borderId="38" xfId="0" applyNumberFormat="1" applyFont="1" applyFill="1" applyBorder="1" applyAlignment="1">
      <alignment horizontal="center"/>
    </xf>
    <xf numFmtId="166" fontId="2" fillId="13" borderId="0" xfId="0" applyNumberFormat="1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8" activePane="bottomRight" state="frozen"/>
      <selection activeCell="C4" sqref="C4"/>
      <selection pane="topRight" activeCell="C4" sqref="C4"/>
      <selection pane="bottomLeft" activeCell="C4" sqref="C4"/>
      <selection pane="bottomRight" activeCell="K37" sqref="K37"/>
    </sheetView>
  </sheetViews>
  <sheetFormatPr defaultColWidth="8.796875" defaultRowHeight="14.25" x14ac:dyDescent="0.45"/>
  <cols>
    <col min="1" max="1" width="27.6640625" style="2" bestFit="1" customWidth="1"/>
    <col min="2" max="11" width="13.46484375" style="2" bestFit="1" customWidth="1"/>
    <col min="12" max="16384" width="8.796875" style="2"/>
  </cols>
  <sheetData>
    <row r="1" spans="1:11" s="1" customFormat="1" x14ac:dyDescent="0.45">
      <c r="A1" s="1" t="s">
        <v>0</v>
      </c>
      <c r="B1" s="1" t="s">
        <v>32</v>
      </c>
      <c r="E1" s="262" t="str">
        <f>IF(B2&lt;&gt;B3, "A NEW VERSION OF THE WORKSHEET IS AVAILABLE", "")</f>
        <v/>
      </c>
      <c r="F1" s="262"/>
      <c r="G1" s="262"/>
      <c r="H1" s="262"/>
      <c r="I1" s="262"/>
      <c r="J1" s="262"/>
      <c r="K1" s="262"/>
    </row>
    <row r="2" spans="1:11" x14ac:dyDescent="0.45">
      <c r="A2" s="1" t="s">
        <v>30</v>
      </c>
      <c r="B2" s="2">
        <v>2.1</v>
      </c>
      <c r="E2" s="263" t="s">
        <v>21</v>
      </c>
      <c r="F2" s="263"/>
      <c r="G2" s="263"/>
      <c r="H2" s="263"/>
      <c r="I2" s="263"/>
      <c r="J2" s="263"/>
      <c r="K2" s="263"/>
    </row>
    <row r="3" spans="1:11" x14ac:dyDescent="0.45">
      <c r="A3" s="1" t="s">
        <v>31</v>
      </c>
      <c r="B3" s="2">
        <v>2.1</v>
      </c>
    </row>
    <row r="4" spans="1:11" x14ac:dyDescent="0.45">
      <c r="A4" s="1"/>
    </row>
    <row r="5" spans="1:11" x14ac:dyDescent="0.45">
      <c r="A5" s="1" t="s">
        <v>33</v>
      </c>
    </row>
    <row r="6" spans="1:11" x14ac:dyDescent="0.45">
      <c r="A6" s="2" t="s">
        <v>27</v>
      </c>
      <c r="B6" s="2">
        <f>IF(B9&gt;0, B9/B8, 0)</f>
        <v>405.46237512917668</v>
      </c>
    </row>
    <row r="7" spans="1:11" x14ac:dyDescent="0.45">
      <c r="A7" s="2" t="s">
        <v>16</v>
      </c>
      <c r="B7">
        <v>5</v>
      </c>
    </row>
    <row r="8" spans="1:11" x14ac:dyDescent="0.45">
      <c r="A8" s="2" t="s">
        <v>28</v>
      </c>
      <c r="B8">
        <v>1161.2</v>
      </c>
    </row>
    <row r="9" spans="1:11" x14ac:dyDescent="0.45">
      <c r="A9" s="2" t="s">
        <v>43</v>
      </c>
      <c r="B9">
        <v>470822.91</v>
      </c>
    </row>
    <row r="15" spans="1:11" x14ac:dyDescent="0.45">
      <c r="A15" s="1" t="s">
        <v>22</v>
      </c>
    </row>
    <row r="16" spans="1:11" s="6" customFormat="1" x14ac:dyDescent="0.45">
      <c r="A16" s="5" t="s">
        <v>23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3" customFormat="1" x14ac:dyDescent="0.45">
      <c r="A17" s="3" t="s">
        <v>1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3" customFormat="1" x14ac:dyDescent="0.45">
      <c r="A18" s="2" t="s">
        <v>44</v>
      </c>
    </row>
    <row r="19" spans="1:11" s="3" customFormat="1" x14ac:dyDescent="0.45">
      <c r="A19" s="2" t="s">
        <v>45</v>
      </c>
    </row>
    <row r="20" spans="1:11" s="3" customFormat="1" x14ac:dyDescent="0.45">
      <c r="A20" s="2" t="s">
        <v>46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3" customFormat="1" x14ac:dyDescent="0.45">
      <c r="A21" s="2" t="s">
        <v>47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3" customFormat="1" x14ac:dyDescent="0.45">
      <c r="A22" s="2" t="s">
        <v>48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3" customFormat="1" x14ac:dyDescent="0.45">
      <c r="A23" s="2" t="s">
        <v>49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3" customFormat="1" x14ac:dyDescent="0.45">
      <c r="A24" s="2" t="s">
        <v>50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3" customFormat="1" x14ac:dyDescent="0.45">
      <c r="A25" s="3" t="s">
        <v>4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3" customFormat="1" x14ac:dyDescent="0.45">
      <c r="A26" s="3" t="s">
        <v>5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3" customFormat="1" x14ac:dyDescent="0.45">
      <c r="A27" s="3" t="s">
        <v>6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3" customFormat="1" x14ac:dyDescent="0.45">
      <c r="A28" s="3" t="s">
        <v>7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3" customFormat="1" x14ac:dyDescent="0.45">
      <c r="A29" s="3" t="s">
        <v>8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3" customFormat="1" x14ac:dyDescent="0.45">
      <c r="A30" s="3" t="s">
        <v>9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3" customFormat="1" x14ac:dyDescent="0.45">
      <c r="A31" s="3" t="s">
        <v>34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3" customFormat="1" x14ac:dyDescent="0.45">
      <c r="A32" s="3" t="str">
        <f>'Historical Financial Statement'!B10</f>
        <v>EBITDA</v>
      </c>
      <c r="B32" s="3">
        <f>'Historical Financial Statement'!C10</f>
        <v>18604</v>
      </c>
      <c r="C32" s="3">
        <f>'Historical Financial Statement'!D10</f>
        <v>18822</v>
      </c>
      <c r="D32" s="3">
        <f>'Historical Financial Statement'!E10</f>
        <v>20170</v>
      </c>
      <c r="E32" s="3">
        <f>'Historical Financial Statement'!F10</f>
        <v>22267</v>
      </c>
      <c r="F32" s="3">
        <f>'Historical Financial Statement'!G10</f>
        <v>27889</v>
      </c>
      <c r="G32" s="3">
        <f>'Historical Financial Statement'!H10</f>
        <v>31491</v>
      </c>
      <c r="H32" s="3">
        <f>'Historical Financial Statement'!I10</f>
        <v>35130</v>
      </c>
      <c r="I32" s="3">
        <f>'Historical Financial Statement'!J10</f>
        <v>36425</v>
      </c>
      <c r="J32" s="3">
        <f>'Historical Financial Statement'!K10</f>
        <v>39236</v>
      </c>
      <c r="K32" s="3">
        <f>'Historical Financial Statement'!L10</f>
        <v>42280</v>
      </c>
    </row>
    <row r="33" spans="1:11" x14ac:dyDescent="0.45">
      <c r="A33" s="3" t="str">
        <f>'Historical Financial Statement'!B14</f>
        <v>EBIT</v>
      </c>
      <c r="B33" s="3">
        <f>'Historical Financial Statement'!C14</f>
        <v>16901</v>
      </c>
      <c r="C33" s="3">
        <f>'Historical Financial Statement'!D14</f>
        <v>16959</v>
      </c>
      <c r="D33" s="3">
        <f>'Historical Financial Statement'!E14</f>
        <v>18159</v>
      </c>
      <c r="E33" s="3">
        <f>'Historical Financial Statement'!F14</f>
        <v>19374</v>
      </c>
      <c r="F33" s="3">
        <f>'Historical Financial Statement'!G14</f>
        <v>24622</v>
      </c>
      <c r="G33" s="3">
        <f>'Historical Financial Statement'!H14</f>
        <v>28015</v>
      </c>
      <c r="H33" s="3">
        <f>'Historical Financial Statement'!I14</f>
        <v>30905</v>
      </c>
      <c r="I33" s="3">
        <f>'Historical Financial Statement'!J14</f>
        <v>31747</v>
      </c>
      <c r="J33" s="3">
        <f>'Historical Financial Statement'!K14</f>
        <v>34424</v>
      </c>
      <c r="K33" s="3">
        <f>'Historical Financial Statement'!L14</f>
        <v>37378</v>
      </c>
    </row>
    <row r="34" spans="1:11" x14ac:dyDescent="0.45">
      <c r="A34" s="3"/>
    </row>
    <row r="35" spans="1:11" x14ac:dyDescent="0.45">
      <c r="A35" s="3"/>
    </row>
    <row r="36" spans="1:11" x14ac:dyDescent="0.45">
      <c r="A36" s="3"/>
    </row>
    <row r="37" spans="1:11" x14ac:dyDescent="0.45">
      <c r="A37" s="3"/>
    </row>
    <row r="38" spans="1:11" x14ac:dyDescent="0.45">
      <c r="A38" s="3"/>
    </row>
    <row r="39" spans="1:11" x14ac:dyDescent="0.45">
      <c r="A39" s="3"/>
    </row>
    <row r="40" spans="1:11" x14ac:dyDescent="0.45">
      <c r="A40" s="1" t="s">
        <v>24</v>
      </c>
    </row>
    <row r="41" spans="1:11" s="6" customFormat="1" x14ac:dyDescent="0.45">
      <c r="A41" s="5" t="s">
        <v>23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3" customFormat="1" x14ac:dyDescent="0.45">
      <c r="A42" s="3" t="s">
        <v>1</v>
      </c>
      <c r="B42">
        <v>37923</v>
      </c>
      <c r="C42">
        <v>39315</v>
      </c>
      <c r="D42">
        <v>40986</v>
      </c>
      <c r="E42">
        <v>41764</v>
      </c>
      <c r="F42">
        <v>40925</v>
      </c>
      <c r="G42">
        <v>42279</v>
      </c>
      <c r="H42">
        <v>44490</v>
      </c>
      <c r="I42">
        <v>45479</v>
      </c>
      <c r="J42">
        <v>46402</v>
      </c>
      <c r="K42">
        <v>48211</v>
      </c>
    </row>
    <row r="43" spans="1:11" s="3" customFormat="1" x14ac:dyDescent="0.45">
      <c r="A43" s="3" t="s">
        <v>2</v>
      </c>
      <c r="B43">
        <v>29139</v>
      </c>
      <c r="C43">
        <v>29878</v>
      </c>
      <c r="D43">
        <v>31177</v>
      </c>
      <c r="E43">
        <v>31649</v>
      </c>
      <c r="F43">
        <v>31051</v>
      </c>
      <c r="G43">
        <v>32336</v>
      </c>
      <c r="H43">
        <v>33955</v>
      </c>
      <c r="I43">
        <v>34845</v>
      </c>
      <c r="J43">
        <v>35235</v>
      </c>
      <c r="K43">
        <v>36802</v>
      </c>
    </row>
    <row r="44" spans="1:11" s="3" customFormat="1" x14ac:dyDescent="0.45">
      <c r="A44" s="3" t="s">
        <v>4</v>
      </c>
      <c r="B44">
        <v>2729</v>
      </c>
      <c r="C44">
        <v>838</v>
      </c>
      <c r="D44">
        <v>712</v>
      </c>
      <c r="E44">
        <v>859</v>
      </c>
      <c r="F44">
        <v>1190</v>
      </c>
      <c r="G44">
        <v>1042</v>
      </c>
      <c r="H44">
        <v>982</v>
      </c>
      <c r="I44">
        <v>-150</v>
      </c>
      <c r="J44">
        <v>1159</v>
      </c>
      <c r="K44">
        <v>984</v>
      </c>
    </row>
    <row r="45" spans="1:11" s="3" customFormat="1" x14ac:dyDescent="0.45">
      <c r="A45" s="3" t="s">
        <v>5</v>
      </c>
      <c r="B45">
        <v>1163</v>
      </c>
      <c r="C45">
        <v>1149</v>
      </c>
      <c r="D45">
        <v>1160</v>
      </c>
      <c r="E45">
        <v>1203</v>
      </c>
      <c r="F45">
        <v>1299</v>
      </c>
      <c r="G45">
        <v>1140</v>
      </c>
      <c r="H45">
        <v>1182</v>
      </c>
      <c r="I45">
        <v>1155</v>
      </c>
      <c r="J45">
        <v>1424</v>
      </c>
      <c r="K45">
        <v>1246</v>
      </c>
    </row>
    <row r="46" spans="1:11" s="3" customFormat="1" x14ac:dyDescent="0.45">
      <c r="A46" s="3" t="s">
        <v>6</v>
      </c>
      <c r="B46">
        <v>110</v>
      </c>
      <c r="C46">
        <v>105</v>
      </c>
      <c r="D46">
        <v>108</v>
      </c>
      <c r="E46">
        <v>101</v>
      </c>
      <c r="F46">
        <v>102</v>
      </c>
      <c r="G46">
        <v>105</v>
      </c>
      <c r="H46">
        <v>106</v>
      </c>
      <c r="I46">
        <v>100</v>
      </c>
      <c r="J46">
        <v>105</v>
      </c>
      <c r="K46">
        <v>119</v>
      </c>
    </row>
    <row r="47" spans="1:11" s="3" customFormat="1" x14ac:dyDescent="0.45">
      <c r="A47" s="3" t="s">
        <v>7</v>
      </c>
      <c r="B47">
        <v>10240</v>
      </c>
      <c r="C47">
        <v>9021</v>
      </c>
      <c r="D47">
        <v>9253</v>
      </c>
      <c r="E47">
        <v>9670</v>
      </c>
      <c r="F47">
        <v>9663</v>
      </c>
      <c r="G47">
        <v>9740</v>
      </c>
      <c r="H47">
        <v>10229</v>
      </c>
      <c r="I47">
        <v>9229</v>
      </c>
      <c r="J47">
        <v>10797</v>
      </c>
      <c r="K47">
        <v>11028</v>
      </c>
    </row>
    <row r="48" spans="1:11" s="3" customFormat="1" x14ac:dyDescent="0.45">
      <c r="A48" s="3" t="s">
        <v>8</v>
      </c>
      <c r="B48">
        <v>2265</v>
      </c>
      <c r="C48">
        <v>2647</v>
      </c>
      <c r="D48">
        <v>2737</v>
      </c>
      <c r="E48">
        <v>2848</v>
      </c>
      <c r="F48">
        <v>2625</v>
      </c>
      <c r="G48">
        <v>2816</v>
      </c>
      <c r="H48">
        <v>2854</v>
      </c>
      <c r="I48">
        <v>2563</v>
      </c>
      <c r="J48">
        <v>2288</v>
      </c>
      <c r="K48">
        <v>3253</v>
      </c>
    </row>
    <row r="49" spans="1:11" s="3" customFormat="1" x14ac:dyDescent="0.45">
      <c r="A49" s="3" t="s">
        <v>9</v>
      </c>
      <c r="B49">
        <v>7969</v>
      </c>
      <c r="C49">
        <v>6368</v>
      </c>
      <c r="D49">
        <v>6506</v>
      </c>
      <c r="E49">
        <v>6806</v>
      </c>
      <c r="F49">
        <v>7033</v>
      </c>
      <c r="G49">
        <v>6921</v>
      </c>
      <c r="H49">
        <v>7364</v>
      </c>
      <c r="I49">
        <v>6654</v>
      </c>
      <c r="J49">
        <v>8501</v>
      </c>
      <c r="K49">
        <v>7769</v>
      </c>
    </row>
    <row r="50" spans="1:11" x14ac:dyDescent="0.45">
      <c r="A50" s="3" t="s">
        <v>3</v>
      </c>
      <c r="B50">
        <v>8784</v>
      </c>
      <c r="C50">
        <v>9437</v>
      </c>
      <c r="D50">
        <v>9809</v>
      </c>
      <c r="E50">
        <v>10115</v>
      </c>
      <c r="F50">
        <v>9874</v>
      </c>
      <c r="G50">
        <v>9943</v>
      </c>
      <c r="H50">
        <v>10535</v>
      </c>
      <c r="I50">
        <v>10634</v>
      </c>
      <c r="J50">
        <v>11167</v>
      </c>
      <c r="K50">
        <v>11409</v>
      </c>
    </row>
    <row r="51" spans="1:11" x14ac:dyDescent="0.45">
      <c r="A51" s="3"/>
    </row>
    <row r="52" spans="1:11" x14ac:dyDescent="0.45">
      <c r="A52" s="3"/>
    </row>
    <row r="53" spans="1:11" x14ac:dyDescent="0.45">
      <c r="A53" s="3"/>
    </row>
    <row r="54" spans="1:11" x14ac:dyDescent="0.45">
      <c r="A54" s="3"/>
    </row>
    <row r="55" spans="1:11" x14ac:dyDescent="0.45">
      <c r="A55" s="1" t="s">
        <v>25</v>
      </c>
    </row>
    <row r="56" spans="1:11" s="6" customFormat="1" x14ac:dyDescent="0.45">
      <c r="A56" s="5" t="s">
        <v>23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45">
      <c r="A57" s="3" t="s">
        <v>10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45">
      <c r="A58" s="3" t="s">
        <v>11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45">
      <c r="A59" s="3" t="s">
        <v>35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45">
      <c r="A60" s="3" t="s">
        <v>36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45">
      <c r="A61" s="1" t="s">
        <v>12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45">
      <c r="A62" s="3" t="s">
        <v>13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45">
      <c r="A63" s="3" t="s">
        <v>14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45">
      <c r="A64" s="3" t="s">
        <v>15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45">
      <c r="A65" s="3" t="s">
        <v>37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45">
      <c r="A66" s="1" t="s">
        <v>12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3" customFormat="1" x14ac:dyDescent="0.45">
      <c r="A67" s="3" t="s">
        <v>42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45">
      <c r="A68" s="3" t="s">
        <v>29</v>
      </c>
    </row>
    <row r="69" spans="1:11" x14ac:dyDescent="0.45">
      <c r="A69" s="2" t="s">
        <v>51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45">
      <c r="A70" s="2" t="s">
        <v>38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45">
      <c r="A71" s="2" t="s">
        <v>39</v>
      </c>
      <c r="D71">
        <v>2184191490</v>
      </c>
    </row>
    <row r="72" spans="1:11" x14ac:dyDescent="0.45">
      <c r="A72" s="2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45">
      <c r="A74" s="3" t="s">
        <v>37</v>
      </c>
      <c r="B74" s="2">
        <f>B65-SUM(B67:B69)</f>
        <v>16234</v>
      </c>
      <c r="C74" s="2">
        <f t="shared" ref="C74:K74" si="0">C65-SUM(C67:C69)</f>
        <v>20046</v>
      </c>
      <c r="D74" s="2">
        <f t="shared" si="0"/>
        <v>21312</v>
      </c>
      <c r="E74" s="2">
        <f t="shared" si="0"/>
        <v>21129</v>
      </c>
      <c r="F74" s="2">
        <f t="shared" si="0"/>
        <v>22871</v>
      </c>
      <c r="G74" s="2">
        <f t="shared" si="0"/>
        <v>30019</v>
      </c>
      <c r="H74" s="2">
        <f t="shared" si="0"/>
        <v>38008</v>
      </c>
      <c r="I74" s="2">
        <f t="shared" si="0"/>
        <v>38503</v>
      </c>
      <c r="J74" s="2">
        <f t="shared" si="0"/>
        <v>36866</v>
      </c>
      <c r="K74" s="2">
        <f t="shared" si="0"/>
        <v>40677</v>
      </c>
    </row>
    <row r="75" spans="1:11" x14ac:dyDescent="0.45">
      <c r="A75" s="3"/>
    </row>
    <row r="76" spans="1:11" x14ac:dyDescent="0.45">
      <c r="A76" s="3"/>
    </row>
    <row r="77" spans="1:11" x14ac:dyDescent="0.45">
      <c r="A77" s="3"/>
    </row>
    <row r="78" spans="1:11" x14ac:dyDescent="0.45">
      <c r="A78" s="3"/>
    </row>
    <row r="79" spans="1:11" x14ac:dyDescent="0.45">
      <c r="A79" s="3"/>
    </row>
    <row r="80" spans="1:11" x14ac:dyDescent="0.45">
      <c r="A80" s="1" t="s">
        <v>26</v>
      </c>
    </row>
    <row r="81" spans="1:11" s="6" customFormat="1" x14ac:dyDescent="0.45">
      <c r="A81" s="5" t="s">
        <v>23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45">
      <c r="A82" s="3" t="s">
        <v>17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3" customFormat="1" x14ac:dyDescent="0.45">
      <c r="A83" s="3" t="s">
        <v>18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3" customFormat="1" x14ac:dyDescent="0.45">
      <c r="A84" s="3" t="s">
        <v>19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45">
      <c r="A85" s="3" t="s">
        <v>20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45">
      <c r="A86" s="3"/>
    </row>
    <row r="87" spans="1:11" x14ac:dyDescent="0.45">
      <c r="A87" s="3"/>
    </row>
    <row r="88" spans="1:11" x14ac:dyDescent="0.45">
      <c r="A88" s="3"/>
    </row>
    <row r="89" spans="1:11" x14ac:dyDescent="0.45">
      <c r="A89" s="3"/>
    </row>
    <row r="90" spans="1:11" s="1" customFormat="1" x14ac:dyDescent="0.45">
      <c r="A90" s="1" t="s">
        <v>41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45">
      <c r="A92" s="1" t="s">
        <v>40</v>
      </c>
    </row>
    <row r="93" spans="1:11" x14ac:dyDescent="0.45">
      <c r="A93" s="2" t="s">
        <v>53</v>
      </c>
      <c r="B93" s="7">
        <v>459.39</v>
      </c>
      <c r="C93" s="7">
        <v>436.82</v>
      </c>
      <c r="D93" s="7">
        <v>436.89</v>
      </c>
      <c r="E93" s="7">
        <v>425.9</v>
      </c>
      <c r="F93" s="7">
        <v>426.07</v>
      </c>
      <c r="G93" s="7">
        <v>420.67</v>
      </c>
      <c r="H93" s="7">
        <v>414.86</v>
      </c>
      <c r="I93" s="7">
        <v>415.09</v>
      </c>
      <c r="J93" s="7">
        <v>415.33</v>
      </c>
      <c r="K93" s="7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66C3-46E4-45A7-A474-94C53CA22CB2}">
  <dimension ref="A1:W95"/>
  <sheetViews>
    <sheetView showGridLines="0" zoomScaleNormal="100" workbookViewId="0">
      <pane xSplit="2" ySplit="2" topLeftCell="C69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4.25" x14ac:dyDescent="0.45"/>
  <cols>
    <col min="1" max="1" width="1.796875" customWidth="1"/>
    <col min="2" max="2" width="30.9296875" style="12" bestFit="1" customWidth="1"/>
    <col min="3" max="6" width="9.73046875" style="15" bestFit="1" customWidth="1"/>
    <col min="7" max="12" width="12.3984375" style="15" bestFit="1" customWidth="1"/>
    <col min="13" max="17" width="11.1328125" style="9" bestFit="1" customWidth="1"/>
    <col min="18" max="19" width="9.06640625" style="9"/>
    <col min="20" max="24" width="9.3984375" style="9" bestFit="1" customWidth="1"/>
    <col min="25" max="16384" width="9.06640625" style="9"/>
  </cols>
  <sheetData>
    <row r="1" spans="1:23" ht="15.75" x14ac:dyDescent="0.5">
      <c r="A1" s="13" t="s">
        <v>78</v>
      </c>
      <c r="B1" s="261" t="str">
        <f>"Income Statement for "&amp;'Data Sheet'!B1</f>
        <v>Income Statement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1:23" x14ac:dyDescent="0.45">
      <c r="A2" s="14"/>
      <c r="B2" s="21" t="str">
        <f>'Data Sheet'!A16</f>
        <v>Report Date</v>
      </c>
      <c r="C2" s="22">
        <f>'Data Sheet'!B16</f>
        <v>42825</v>
      </c>
      <c r="D2" s="22">
        <f>'Data Sheet'!C16</f>
        <v>43190</v>
      </c>
      <c r="E2" s="22">
        <f>'Data Sheet'!D16</f>
        <v>43555</v>
      </c>
      <c r="F2" s="22">
        <f>'Data Sheet'!E16</f>
        <v>43921</v>
      </c>
      <c r="G2" s="22">
        <f>'Data Sheet'!F16</f>
        <v>44286</v>
      </c>
      <c r="H2" s="22">
        <f>'Data Sheet'!G16</f>
        <v>44651</v>
      </c>
      <c r="I2" s="22">
        <f>'Data Sheet'!H16</f>
        <v>45016</v>
      </c>
      <c r="J2" s="22">
        <f>'Data Sheet'!I16</f>
        <v>45382</v>
      </c>
      <c r="K2" s="22">
        <f>'Data Sheet'!J16</f>
        <v>45747</v>
      </c>
      <c r="L2" s="22">
        <f>'Data Sheet'!K16</f>
        <v>46112</v>
      </c>
      <c r="M2" s="28">
        <f>L2+365</f>
        <v>46477</v>
      </c>
      <c r="N2" s="28">
        <f t="shared" ref="N2:Q2" si="0">M2+365</f>
        <v>46842</v>
      </c>
      <c r="O2" s="28">
        <f t="shared" si="0"/>
        <v>47207</v>
      </c>
      <c r="P2" s="28">
        <f t="shared" si="0"/>
        <v>47572</v>
      </c>
      <c r="Q2" s="28">
        <f t="shared" si="0"/>
        <v>47937</v>
      </c>
    </row>
    <row r="3" spans="1:23" x14ac:dyDescent="0.45">
      <c r="B3" s="14" t="str">
        <f>'Data Sheet'!A17</f>
        <v>Sales</v>
      </c>
      <c r="C3" s="49">
        <f>'Data Sheet'!B17</f>
        <v>68484</v>
      </c>
      <c r="D3" s="49">
        <f>'Data Sheet'!C17</f>
        <v>70522</v>
      </c>
      <c r="E3" s="49">
        <f>'Data Sheet'!D17</f>
        <v>82675</v>
      </c>
      <c r="F3" s="49">
        <f>'Data Sheet'!E17</f>
        <v>90791</v>
      </c>
      <c r="G3" s="49">
        <f>'Data Sheet'!F17</f>
        <v>100472</v>
      </c>
      <c r="H3" s="49">
        <f>'Data Sheet'!G17</f>
        <v>121641</v>
      </c>
      <c r="I3" s="49">
        <f>'Data Sheet'!H17</f>
        <v>146767</v>
      </c>
      <c r="J3" s="49">
        <f>'Data Sheet'!I17</f>
        <v>153670</v>
      </c>
      <c r="K3" s="49">
        <f>'Data Sheet'!J17</f>
        <v>162990</v>
      </c>
      <c r="L3" s="49">
        <f>'Data Sheet'!K17</f>
        <v>178650</v>
      </c>
      <c r="M3" s="137">
        <f>Calculation!M3</f>
        <v>196627.56939503259</v>
      </c>
      <c r="N3" s="137">
        <f>Calculation!N3</f>
        <v>216414.22360032666</v>
      </c>
      <c r="O3" s="137">
        <f>Calculation!O3</f>
        <v>238192.01102180424</v>
      </c>
      <c r="P3" s="137">
        <f>Calculation!P3</f>
        <v>262161.29961674882</v>
      </c>
      <c r="Q3" s="137">
        <f>Calculation!Q3</f>
        <v>288542.62039229897</v>
      </c>
    </row>
    <row r="4" spans="1:23" ht="14.65" thickBot="1" x14ac:dyDescent="0.5">
      <c r="B4" s="12" t="s">
        <v>79</v>
      </c>
      <c r="C4" s="49">
        <f>SUM('Data Sheet'!B20:B22)</f>
        <v>44609</v>
      </c>
      <c r="D4" s="49">
        <f>SUM('Data Sheet'!C20:C22)</f>
        <v>46395</v>
      </c>
      <c r="E4" s="49">
        <f>SUM('Data Sheet'!D20:D22)</f>
        <v>55446</v>
      </c>
      <c r="F4" s="49">
        <f>SUM('Data Sheet'!E20:E22)</f>
        <v>62210</v>
      </c>
      <c r="G4" s="49">
        <f>SUM('Data Sheet'!F20:F22)</f>
        <v>68490</v>
      </c>
      <c r="H4" s="49">
        <f>SUM('Data Sheet'!G20:G22)</f>
        <v>84819</v>
      </c>
      <c r="I4" s="49">
        <f>SUM('Data Sheet'!H20:H22)</f>
        <v>104880</v>
      </c>
      <c r="J4" s="49">
        <f>SUM('Data Sheet'!I20:I22)</f>
        <v>110030</v>
      </c>
      <c r="K4" s="49">
        <f>SUM('Data Sheet'!J20:J22)</f>
        <v>116585</v>
      </c>
      <c r="L4" s="49">
        <f>SUM('Data Sheet'!K20:K22)</f>
        <v>128257</v>
      </c>
      <c r="M4" s="137">
        <f>Calculation!M6</f>
        <v>135828.55446958737</v>
      </c>
      <c r="N4" s="137">
        <f>Calculation!N6</f>
        <v>150349.94114197401</v>
      </c>
      <c r="O4" s="137">
        <f>Calculation!O6</f>
        <v>166357.46820010521</v>
      </c>
      <c r="P4" s="137">
        <f>Calculation!P6</f>
        <v>183825.99150013982</v>
      </c>
      <c r="Q4" s="137">
        <f>Calculation!Q6</f>
        <v>202785.92113548462</v>
      </c>
    </row>
    <row r="5" spans="1:23" s="24" customFormat="1" x14ac:dyDescent="0.45">
      <c r="A5" s="12"/>
      <c r="B5" s="31" t="s">
        <v>80</v>
      </c>
      <c r="C5" s="50">
        <f t="shared" ref="C5:L5" si="1">C3-C4</f>
        <v>23875</v>
      </c>
      <c r="D5" s="50">
        <f t="shared" si="1"/>
        <v>24127</v>
      </c>
      <c r="E5" s="50">
        <f t="shared" si="1"/>
        <v>27229</v>
      </c>
      <c r="F5" s="50">
        <f t="shared" si="1"/>
        <v>28581</v>
      </c>
      <c r="G5" s="50">
        <f t="shared" si="1"/>
        <v>31982</v>
      </c>
      <c r="H5" s="50">
        <f t="shared" si="1"/>
        <v>36822</v>
      </c>
      <c r="I5" s="50">
        <f t="shared" si="1"/>
        <v>41887</v>
      </c>
      <c r="J5" s="50">
        <f t="shared" si="1"/>
        <v>43640</v>
      </c>
      <c r="K5" s="50">
        <f t="shared" si="1"/>
        <v>46405</v>
      </c>
      <c r="L5" s="50">
        <f t="shared" si="1"/>
        <v>50393</v>
      </c>
      <c r="M5" s="138">
        <f t="shared" ref="M5" si="2">M3-M4</f>
        <v>60799.014925445226</v>
      </c>
      <c r="N5" s="138">
        <f t="shared" ref="N5" si="3">N3-N4</f>
        <v>66064.282458352653</v>
      </c>
      <c r="O5" s="138">
        <f t="shared" ref="O5" si="4">O3-O4</f>
        <v>71834.542821699026</v>
      </c>
      <c r="P5" s="138">
        <f t="shared" ref="P5" si="5">P3-P4</f>
        <v>78335.308116608998</v>
      </c>
      <c r="Q5" s="138">
        <f t="shared" ref="Q5" si="6">Q3-Q4</f>
        <v>85756.699256814347</v>
      </c>
    </row>
    <row r="6" spans="1:23" s="25" customFormat="1" x14ac:dyDescent="0.45">
      <c r="A6" s="18"/>
      <c r="B6" s="18" t="s">
        <v>85</v>
      </c>
      <c r="C6" s="18">
        <f t="shared" ref="C6:L6" si="7">C5/C3</f>
        <v>0.34862157584253256</v>
      </c>
      <c r="D6" s="18">
        <f t="shared" si="7"/>
        <v>0.34212018944442868</v>
      </c>
      <c r="E6" s="18">
        <f t="shared" si="7"/>
        <v>0.32934986392500754</v>
      </c>
      <c r="F6" s="18">
        <f t="shared" si="7"/>
        <v>0.31479992510270843</v>
      </c>
      <c r="G6" s="18">
        <f t="shared" si="7"/>
        <v>0.31831754120550998</v>
      </c>
      <c r="H6" s="18">
        <f t="shared" si="7"/>
        <v>0.30271043480405457</v>
      </c>
      <c r="I6" s="18">
        <f t="shared" si="7"/>
        <v>0.28539794367943749</v>
      </c>
      <c r="J6" s="18">
        <f t="shared" si="7"/>
        <v>0.28398516301164833</v>
      </c>
      <c r="K6" s="18">
        <f t="shared" si="7"/>
        <v>0.2847107184489846</v>
      </c>
      <c r="L6" s="18">
        <f t="shared" si="7"/>
        <v>0.28207668625804644</v>
      </c>
      <c r="M6" s="36">
        <f t="shared" ref="M6" si="8">M5/M3</f>
        <v>0.30920900417223585</v>
      </c>
      <c r="N6" s="36">
        <f t="shared" ref="N6" si="9">N5/N3</f>
        <v>0.30526774700520626</v>
      </c>
      <c r="O6" s="36">
        <f t="shared" ref="O6" si="10">O5/O3</f>
        <v>0.30158250276128384</v>
      </c>
      <c r="P6" s="36">
        <f t="shared" ref="P6" si="11">P5/P3</f>
        <v>0.2988057666449116</v>
      </c>
      <c r="Q6" s="36">
        <f t="shared" ref="Q6" si="12">Q5/Q3</f>
        <v>0.29720635079913188</v>
      </c>
    </row>
    <row r="7" spans="1:23" s="24" customFormat="1" x14ac:dyDescent="0.45">
      <c r="A7" s="12"/>
      <c r="B7" s="12"/>
      <c r="C7" s="52"/>
      <c r="D7" s="52"/>
      <c r="E7" s="52"/>
      <c r="F7" s="52"/>
      <c r="G7" s="52"/>
      <c r="H7" s="52"/>
      <c r="I7" s="52"/>
      <c r="J7" s="52"/>
      <c r="K7" s="52"/>
      <c r="L7" s="52"/>
      <c r="M7" s="137"/>
      <c r="N7" s="137"/>
      <c r="O7" s="137"/>
      <c r="P7" s="137"/>
      <c r="Q7" s="137"/>
    </row>
    <row r="8" spans="1:23" x14ac:dyDescent="0.45">
      <c r="B8" s="16" t="str">
        <f>'Data Sheet'!A23</f>
        <v>Selling and admin</v>
      </c>
      <c r="C8" s="49">
        <f>'Data Sheet'!B23</f>
        <v>4584</v>
      </c>
      <c r="D8" s="49">
        <f>'Data Sheet'!C23</f>
        <v>4585</v>
      </c>
      <c r="E8" s="49">
        <f>'Data Sheet'!D23</f>
        <v>5553</v>
      </c>
      <c r="F8" s="49">
        <f>'Data Sheet'!E23</f>
        <v>5375</v>
      </c>
      <c r="G8" s="49">
        <f>'Data Sheet'!F23</f>
        <v>3194</v>
      </c>
      <c r="H8" s="49">
        <f>'Data Sheet'!G23</f>
        <v>4305</v>
      </c>
      <c r="I8" s="49">
        <f>'Data Sheet'!H23</f>
        <v>5300</v>
      </c>
      <c r="J8" s="49">
        <f>'Data Sheet'!I23</f>
        <v>5705</v>
      </c>
      <c r="K8" s="49">
        <f>'Data Sheet'!J23</f>
        <v>6039</v>
      </c>
      <c r="L8" s="49">
        <f>'Data Sheet'!K23</f>
        <v>6784</v>
      </c>
      <c r="M8" s="137">
        <f>Calculation!M10</f>
        <v>9315.4616720706053</v>
      </c>
      <c r="N8" s="137">
        <f>Calculation!N10</f>
        <v>9829.5893600909294</v>
      </c>
      <c r="O8" s="137">
        <f>Calculation!O10</f>
        <v>10352.006765112326</v>
      </c>
      <c r="P8" s="137">
        <f>Calculation!P10</f>
        <v>10772.254653408301</v>
      </c>
      <c r="Q8" s="137">
        <f>Calculation!Q10</f>
        <v>11333.667392453124</v>
      </c>
    </row>
    <row r="9" spans="1:23" ht="14.65" thickBot="1" x14ac:dyDescent="0.5">
      <c r="B9" s="16" t="str">
        <f>'Data Sheet'!A24</f>
        <v>Other Expenses</v>
      </c>
      <c r="C9" s="49">
        <f>'Data Sheet'!B24</f>
        <v>687</v>
      </c>
      <c r="D9" s="49">
        <f>'Data Sheet'!C24</f>
        <v>720</v>
      </c>
      <c r="E9" s="49">
        <f>'Data Sheet'!D24</f>
        <v>1506</v>
      </c>
      <c r="F9" s="49">
        <f>'Data Sheet'!E24</f>
        <v>939</v>
      </c>
      <c r="G9" s="49">
        <f>'Data Sheet'!F24</f>
        <v>899</v>
      </c>
      <c r="H9" s="49">
        <f>'Data Sheet'!G24</f>
        <v>1026</v>
      </c>
      <c r="I9" s="49">
        <f>'Data Sheet'!H24</f>
        <v>1457</v>
      </c>
      <c r="J9" s="49">
        <f>'Data Sheet'!I24</f>
        <v>1510</v>
      </c>
      <c r="K9" s="49">
        <f>'Data Sheet'!J24</f>
        <v>1130</v>
      </c>
      <c r="L9" s="49">
        <f>'Data Sheet'!K24</f>
        <v>1329</v>
      </c>
      <c r="M9" s="137">
        <f>Calculation!M14</f>
        <v>1972.3220221281008</v>
      </c>
      <c r="N9" s="137">
        <f>Calculation!N14</f>
        <v>2170.7799088568959</v>
      </c>
      <c r="O9" s="137">
        <f>Calculation!O14</f>
        <v>2384.9642671810325</v>
      </c>
      <c r="P9" s="137">
        <f>Calculation!P14</f>
        <v>2409.9092856706507</v>
      </c>
      <c r="Q9" s="137">
        <f>Calculation!Q14</f>
        <v>2619.2372735074086</v>
      </c>
    </row>
    <row r="10" spans="1:23" s="24" customFormat="1" x14ac:dyDescent="0.45">
      <c r="A10" s="12"/>
      <c r="B10" s="31" t="s">
        <v>81</v>
      </c>
      <c r="C10" s="50">
        <f t="shared" ref="C10:L10" si="13">C5-SUM(C8:C9)</f>
        <v>18604</v>
      </c>
      <c r="D10" s="50">
        <f t="shared" si="13"/>
        <v>18822</v>
      </c>
      <c r="E10" s="50">
        <f t="shared" si="13"/>
        <v>20170</v>
      </c>
      <c r="F10" s="50">
        <f t="shared" si="13"/>
        <v>22267</v>
      </c>
      <c r="G10" s="50">
        <f t="shared" si="13"/>
        <v>27889</v>
      </c>
      <c r="H10" s="50">
        <f t="shared" si="13"/>
        <v>31491</v>
      </c>
      <c r="I10" s="50">
        <f t="shared" si="13"/>
        <v>35130</v>
      </c>
      <c r="J10" s="50">
        <f t="shared" si="13"/>
        <v>36425</v>
      </c>
      <c r="K10" s="50">
        <f t="shared" si="13"/>
        <v>39236</v>
      </c>
      <c r="L10" s="50">
        <f t="shared" si="13"/>
        <v>42280</v>
      </c>
      <c r="M10" s="138">
        <f t="shared" ref="M10" si="14">M5-SUM(M8:M9)</f>
        <v>49511.231231246522</v>
      </c>
      <c r="N10" s="138">
        <f t="shared" ref="N10" si="15">N5-SUM(N8:N9)</f>
        <v>54063.913189404826</v>
      </c>
      <c r="O10" s="138">
        <f t="shared" ref="O10" si="16">O5-SUM(O8:O9)</f>
        <v>59097.571789405665</v>
      </c>
      <c r="P10" s="138">
        <f t="shared" ref="P10" si="17">P5-SUM(P8:P9)</f>
        <v>65153.144177530048</v>
      </c>
      <c r="Q10" s="138">
        <f t="shared" ref="Q10" si="18">Q5-SUM(Q8:Q9)</f>
        <v>71803.794590853809</v>
      </c>
    </row>
    <row r="11" spans="1:23" s="25" customFormat="1" x14ac:dyDescent="0.45">
      <c r="A11" s="18"/>
      <c r="B11" s="18" t="s">
        <v>86</v>
      </c>
      <c r="C11" s="18">
        <f t="shared" ref="C11:L11" si="19">C10/C3</f>
        <v>0.27165469306699375</v>
      </c>
      <c r="D11" s="18">
        <f t="shared" si="19"/>
        <v>0.26689543688494372</v>
      </c>
      <c r="E11" s="18">
        <f t="shared" si="19"/>
        <v>0.24396734200181433</v>
      </c>
      <c r="F11" s="18">
        <f t="shared" si="19"/>
        <v>0.24525558700752279</v>
      </c>
      <c r="G11" s="18">
        <f t="shared" si="19"/>
        <v>0.27757982323433394</v>
      </c>
      <c r="H11" s="18">
        <f t="shared" si="19"/>
        <v>0.25888475102966929</v>
      </c>
      <c r="I11" s="18">
        <f t="shared" si="19"/>
        <v>0.23935898396778568</v>
      </c>
      <c r="J11" s="18">
        <f t="shared" si="19"/>
        <v>0.23703390381987374</v>
      </c>
      <c r="K11" s="18">
        <f t="shared" si="19"/>
        <v>0.24072642493404503</v>
      </c>
      <c r="L11" s="18">
        <f t="shared" si="19"/>
        <v>0.23666386789812482</v>
      </c>
      <c r="M11" s="36">
        <f t="shared" ref="M11" si="20">M10/M3</f>
        <v>0.25180208138451071</v>
      </c>
      <c r="N11" s="36">
        <f t="shared" ref="N11" si="21">N10/N3</f>
        <v>0.24981682021626245</v>
      </c>
      <c r="O11" s="36">
        <f t="shared" ref="O11" si="22">O10/O3</f>
        <v>0.24810895854939416</v>
      </c>
      <c r="P11" s="36">
        <f t="shared" ref="P11" si="23">P10/P3</f>
        <v>0.24852312020415229</v>
      </c>
      <c r="Q11" s="36">
        <f t="shared" ref="Q11" si="24">Q10/Q3</f>
        <v>0.24884987352381516</v>
      </c>
    </row>
    <row r="12" spans="1:23" s="24" customFormat="1" x14ac:dyDescent="0.45">
      <c r="A12" s="12"/>
      <c r="B12" s="12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137"/>
      <c r="N12" s="137"/>
      <c r="O12" s="137"/>
      <c r="P12" s="137"/>
      <c r="Q12" s="137"/>
      <c r="S12" s="61"/>
      <c r="T12" s="61"/>
      <c r="U12" s="61"/>
      <c r="V12" s="61"/>
      <c r="W12" s="61"/>
    </row>
    <row r="13" spans="1:23" ht="14.65" thickBot="1" x14ac:dyDescent="0.5">
      <c r="B13" s="16" t="str">
        <f>'Data Sheet'!A26</f>
        <v>Depreciation</v>
      </c>
      <c r="C13" s="49">
        <f>'Data Sheet'!B26</f>
        <v>1703</v>
      </c>
      <c r="D13" s="49">
        <f>'Data Sheet'!C26</f>
        <v>1863</v>
      </c>
      <c r="E13" s="49">
        <f>'Data Sheet'!D26</f>
        <v>2011</v>
      </c>
      <c r="F13" s="49">
        <f>'Data Sheet'!E26</f>
        <v>2893</v>
      </c>
      <c r="G13" s="49">
        <f>'Data Sheet'!F26</f>
        <v>3267</v>
      </c>
      <c r="H13" s="49">
        <f>'Data Sheet'!G26</f>
        <v>3476</v>
      </c>
      <c r="I13" s="49">
        <f>'Data Sheet'!H26</f>
        <v>4225</v>
      </c>
      <c r="J13" s="49">
        <f>'Data Sheet'!I26</f>
        <v>4678</v>
      </c>
      <c r="K13" s="49">
        <f>'Data Sheet'!J26</f>
        <v>4812</v>
      </c>
      <c r="L13" s="49">
        <f>'Data Sheet'!K26</f>
        <v>4902</v>
      </c>
      <c r="M13" s="137">
        <f>Calculation!M19</f>
        <v>4711.6420103622086</v>
      </c>
      <c r="N13" s="137">
        <f>Calculation!N19</f>
        <v>4763.7376754573552</v>
      </c>
      <c r="O13" s="137">
        <f>Calculation!O19</f>
        <v>4733.8013829469046</v>
      </c>
      <c r="P13" s="137">
        <f>Calculation!P19</f>
        <v>4813.74659338122</v>
      </c>
      <c r="Q13" s="137">
        <f>Calculation!Q19</f>
        <v>4946.5198444537955</v>
      </c>
    </row>
    <row r="14" spans="1:23" x14ac:dyDescent="0.45">
      <c r="B14" s="31" t="s">
        <v>82</v>
      </c>
      <c r="C14" s="50">
        <f t="shared" ref="C14:Q14" si="25">C10-C13</f>
        <v>16901</v>
      </c>
      <c r="D14" s="50">
        <f t="shared" si="25"/>
        <v>16959</v>
      </c>
      <c r="E14" s="50">
        <f t="shared" si="25"/>
        <v>18159</v>
      </c>
      <c r="F14" s="50">
        <f t="shared" si="25"/>
        <v>19374</v>
      </c>
      <c r="G14" s="50">
        <f t="shared" si="25"/>
        <v>24622</v>
      </c>
      <c r="H14" s="50">
        <f t="shared" si="25"/>
        <v>28015</v>
      </c>
      <c r="I14" s="50">
        <f t="shared" si="25"/>
        <v>30905</v>
      </c>
      <c r="J14" s="50">
        <f t="shared" si="25"/>
        <v>31747</v>
      </c>
      <c r="K14" s="50">
        <f t="shared" si="25"/>
        <v>34424</v>
      </c>
      <c r="L14" s="50">
        <f t="shared" si="25"/>
        <v>37378</v>
      </c>
      <c r="M14" s="139">
        <f t="shared" si="25"/>
        <v>44799.589220884314</v>
      </c>
      <c r="N14" s="139">
        <f t="shared" si="25"/>
        <v>49300.17551394747</v>
      </c>
      <c r="O14" s="139">
        <f t="shared" si="25"/>
        <v>54363.77040645876</v>
      </c>
      <c r="P14" s="139">
        <f t="shared" si="25"/>
        <v>60339.397584148828</v>
      </c>
      <c r="Q14" s="139">
        <f t="shared" si="25"/>
        <v>66857.274746400013</v>
      </c>
    </row>
    <row r="15" spans="1:23" s="25" customFormat="1" x14ac:dyDescent="0.45">
      <c r="A15" s="18"/>
      <c r="B15" s="18" t="s">
        <v>87</v>
      </c>
      <c r="C15" s="18">
        <f t="shared" ref="C15:Q15" si="26">C14/C3</f>
        <v>0.24678757081946148</v>
      </c>
      <c r="D15" s="18">
        <f t="shared" si="26"/>
        <v>0.24047814866282863</v>
      </c>
      <c r="E15" s="18">
        <f t="shared" si="26"/>
        <v>0.2196431811309344</v>
      </c>
      <c r="F15" s="18">
        <f t="shared" si="26"/>
        <v>0.21339119516251612</v>
      </c>
      <c r="G15" s="18">
        <f t="shared" si="26"/>
        <v>0.24506330121824987</v>
      </c>
      <c r="H15" s="18">
        <f t="shared" si="26"/>
        <v>0.23030885967724699</v>
      </c>
      <c r="I15" s="18">
        <f t="shared" si="26"/>
        <v>0.21057185879659596</v>
      </c>
      <c r="J15" s="18">
        <f t="shared" si="26"/>
        <v>0.20659204789483959</v>
      </c>
      <c r="K15" s="18">
        <f t="shared" si="26"/>
        <v>0.21120314129701209</v>
      </c>
      <c r="L15" s="18">
        <f t="shared" si="26"/>
        <v>0.20922474111390987</v>
      </c>
      <c r="M15" s="36">
        <f t="shared" si="26"/>
        <v>0.22783981594605465</v>
      </c>
      <c r="N15" s="36">
        <f t="shared" si="26"/>
        <v>0.22780469182559338</v>
      </c>
      <c r="O15" s="36">
        <f t="shared" si="26"/>
        <v>0.228235070409151</v>
      </c>
      <c r="P15" s="36">
        <f t="shared" si="26"/>
        <v>0.23016134598187618</v>
      </c>
      <c r="Q15" s="36">
        <f t="shared" si="26"/>
        <v>0.23170675671934252</v>
      </c>
    </row>
    <row r="16" spans="1:23" x14ac:dyDescent="0.45"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137"/>
      <c r="N16" s="137"/>
      <c r="O16" s="137"/>
      <c r="P16" s="137"/>
      <c r="Q16" s="137"/>
    </row>
    <row r="17" spans="1:18" x14ac:dyDescent="0.45">
      <c r="B17" s="16" t="str">
        <f>'Data Sheet'!A27</f>
        <v>Interest</v>
      </c>
      <c r="C17" s="49">
        <f>'Data Sheet'!B27</f>
        <v>0</v>
      </c>
      <c r="D17" s="49">
        <f>'Data Sheet'!C27</f>
        <v>0</v>
      </c>
      <c r="E17" s="49">
        <f>'Data Sheet'!D27</f>
        <v>0</v>
      </c>
      <c r="F17" s="49">
        <f>'Data Sheet'!E27</f>
        <v>170</v>
      </c>
      <c r="G17" s="49">
        <f>'Data Sheet'!F27</f>
        <v>195</v>
      </c>
      <c r="H17" s="49">
        <f>'Data Sheet'!G27</f>
        <v>200</v>
      </c>
      <c r="I17" s="49">
        <f>'Data Sheet'!H27</f>
        <v>284</v>
      </c>
      <c r="J17" s="49">
        <f>'Data Sheet'!I27</f>
        <v>470</v>
      </c>
      <c r="K17" s="49">
        <f>'Data Sheet'!J27</f>
        <v>416</v>
      </c>
      <c r="L17" s="49">
        <f>'Data Sheet'!K27</f>
        <v>416</v>
      </c>
      <c r="M17" s="137">
        <f>Calculation!M29</f>
        <v>271.79132286652572</v>
      </c>
      <c r="N17" s="137">
        <f>Calculation!N29</f>
        <v>298.97045515317831</v>
      </c>
      <c r="O17" s="137">
        <f>Calculation!O29</f>
        <v>328.86750066849612</v>
      </c>
      <c r="P17" s="137">
        <f>Calculation!P29</f>
        <v>361.75425073534575</v>
      </c>
      <c r="Q17" s="137">
        <f>Calculation!Q29</f>
        <v>364.25991539446204</v>
      </c>
    </row>
    <row r="18" spans="1:18" ht="14.65" thickBot="1" x14ac:dyDescent="0.5">
      <c r="B18" s="16" t="str">
        <f>'Data Sheet'!A25</f>
        <v>Other Income</v>
      </c>
      <c r="C18" s="49">
        <f>'Data Sheet'!B25</f>
        <v>3050</v>
      </c>
      <c r="D18" s="49">
        <f>'Data Sheet'!C25</f>
        <v>3311</v>
      </c>
      <c r="E18" s="49">
        <f>'Data Sheet'!D25</f>
        <v>2882</v>
      </c>
      <c r="F18" s="49">
        <f>'Data Sheet'!E25</f>
        <v>2803</v>
      </c>
      <c r="G18" s="49">
        <f>'Data Sheet'!F25</f>
        <v>2201</v>
      </c>
      <c r="H18" s="49">
        <f>'Data Sheet'!G25</f>
        <v>2295</v>
      </c>
      <c r="I18" s="49">
        <f>'Data Sheet'!H25</f>
        <v>2701</v>
      </c>
      <c r="J18" s="49">
        <f>'Data Sheet'!I25</f>
        <v>4711</v>
      </c>
      <c r="K18" s="49">
        <f>'Data Sheet'!J25</f>
        <v>3600</v>
      </c>
      <c r="L18" s="49">
        <f>'Data Sheet'!K25</f>
        <v>3033</v>
      </c>
      <c r="M18" s="137">
        <f>Calculation!M36</f>
        <v>5625.8376615639427</v>
      </c>
      <c r="N18" s="137">
        <f>Calculation!N36</f>
        <v>5847.3416609356409</v>
      </c>
      <c r="O18" s="137">
        <f>Calculation!O36</f>
        <v>5961.0275103215345</v>
      </c>
      <c r="P18" s="137">
        <f>Calculation!P36</f>
        <v>6303.0967327938752</v>
      </c>
      <c r="Q18" s="137">
        <f>Calculation!Q36</f>
        <v>6740.2952273789788</v>
      </c>
    </row>
    <row r="19" spans="1:18" s="24" customFormat="1" x14ac:dyDescent="0.45">
      <c r="A19" s="12"/>
      <c r="B19" s="31" t="s">
        <v>83</v>
      </c>
      <c r="C19" s="50">
        <f>SUM(C14,C18)-C17</f>
        <v>19951</v>
      </c>
      <c r="D19" s="50">
        <f t="shared" ref="D19:Q19" si="27">SUM(D14,D18)-D17</f>
        <v>20270</v>
      </c>
      <c r="E19" s="50">
        <f t="shared" si="27"/>
        <v>21041</v>
      </c>
      <c r="F19" s="50">
        <f t="shared" si="27"/>
        <v>22007</v>
      </c>
      <c r="G19" s="50">
        <f t="shared" si="27"/>
        <v>26628</v>
      </c>
      <c r="H19" s="50">
        <f t="shared" si="27"/>
        <v>30110</v>
      </c>
      <c r="I19" s="50">
        <f t="shared" si="27"/>
        <v>33322</v>
      </c>
      <c r="J19" s="50">
        <f t="shared" si="27"/>
        <v>35988</v>
      </c>
      <c r="K19" s="50">
        <f t="shared" si="27"/>
        <v>37608</v>
      </c>
      <c r="L19" s="50">
        <f t="shared" si="27"/>
        <v>39995</v>
      </c>
      <c r="M19" s="139">
        <f t="shared" si="27"/>
        <v>50153.635559581729</v>
      </c>
      <c r="N19" s="139">
        <f t="shared" si="27"/>
        <v>54848.546719729937</v>
      </c>
      <c r="O19" s="139">
        <f t="shared" si="27"/>
        <v>59995.930416111798</v>
      </c>
      <c r="P19" s="139">
        <f t="shared" si="27"/>
        <v>66280.740066207349</v>
      </c>
      <c r="Q19" s="139">
        <f t="shared" si="27"/>
        <v>73233.310058384537</v>
      </c>
    </row>
    <row r="20" spans="1:18" s="26" customFormat="1" x14ac:dyDescent="0.45">
      <c r="A20" s="20"/>
      <c r="B20" s="20" t="s">
        <v>88</v>
      </c>
      <c r="C20" s="17">
        <f t="shared" ref="C20:Q20" si="28">C19/C3</f>
        <v>0.29132352082238189</v>
      </c>
      <c r="D20" s="17">
        <f t="shared" si="28"/>
        <v>0.28742803664104816</v>
      </c>
      <c r="E20" s="17">
        <f t="shared" si="28"/>
        <v>0.25450257030541273</v>
      </c>
      <c r="F20" s="17">
        <f t="shared" si="28"/>
        <v>0.24239186703527882</v>
      </c>
      <c r="G20" s="17">
        <f t="shared" si="28"/>
        <v>0.26502906282347322</v>
      </c>
      <c r="H20" s="17">
        <f t="shared" si="28"/>
        <v>0.24753167106485477</v>
      </c>
      <c r="I20" s="17">
        <f t="shared" si="28"/>
        <v>0.22704013845074164</v>
      </c>
      <c r="J20" s="17">
        <f t="shared" si="28"/>
        <v>0.2341901477191384</v>
      </c>
      <c r="K20" s="17">
        <f t="shared" si="28"/>
        <v>0.23073808209092583</v>
      </c>
      <c r="L20" s="17">
        <f t="shared" si="28"/>
        <v>0.22387349566190876</v>
      </c>
      <c r="M20" s="57">
        <f t="shared" si="28"/>
        <v>0.25506919357183877</v>
      </c>
      <c r="N20" s="57">
        <f t="shared" si="28"/>
        <v>0.25344243001802008</v>
      </c>
      <c r="O20" s="57">
        <f t="shared" si="28"/>
        <v>0.2518805318395827</v>
      </c>
      <c r="P20" s="57">
        <f t="shared" si="28"/>
        <v>0.25282427331227969</v>
      </c>
      <c r="Q20" s="57">
        <f t="shared" si="28"/>
        <v>0.25380413458094142</v>
      </c>
      <c r="R20" s="27"/>
    </row>
    <row r="21" spans="1:18" s="24" customFormat="1" x14ac:dyDescent="0.45">
      <c r="A21" s="12"/>
      <c r="B21" s="12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137"/>
      <c r="N21" s="137"/>
      <c r="O21" s="137"/>
      <c r="P21" s="137"/>
      <c r="Q21" s="137"/>
    </row>
    <row r="22" spans="1:18" x14ac:dyDescent="0.45">
      <c r="B22" s="16" t="str">
        <f>'Data Sheet'!A29</f>
        <v>Tax</v>
      </c>
      <c r="C22" s="49">
        <f>'Data Sheet'!B29</f>
        <v>5598</v>
      </c>
      <c r="D22" s="49">
        <f>'Data Sheet'!C29</f>
        <v>4241</v>
      </c>
      <c r="E22" s="49">
        <f>'Data Sheet'!D29</f>
        <v>5631</v>
      </c>
      <c r="F22" s="49">
        <f>'Data Sheet'!E29</f>
        <v>5368</v>
      </c>
      <c r="G22" s="49">
        <f>'Data Sheet'!F29</f>
        <v>7205</v>
      </c>
      <c r="H22" s="49">
        <f>'Data Sheet'!G29</f>
        <v>7964</v>
      </c>
      <c r="I22" s="49">
        <f>'Data Sheet'!H29</f>
        <v>9214</v>
      </c>
      <c r="J22" s="49">
        <f>'Data Sheet'!I29</f>
        <v>9740</v>
      </c>
      <c r="K22" s="49">
        <f>'Data Sheet'!J29</f>
        <v>10858</v>
      </c>
      <c r="L22" s="49">
        <f>'Data Sheet'!K29</f>
        <v>10521</v>
      </c>
      <c r="M22" s="137">
        <f>Calculation!M41</f>
        <v>13217.314403252916</v>
      </c>
      <c r="N22" s="137">
        <f>Calculation!N41</f>
        <v>14361.073102107937</v>
      </c>
      <c r="O22" s="137">
        <f>Calculation!O41</f>
        <v>16024.434304792543</v>
      </c>
      <c r="P22" s="137">
        <f>Calculation!P41</f>
        <v>17699.554943801468</v>
      </c>
      <c r="Q22" s="137">
        <f>Calculation!Q41</f>
        <v>19725.455551116716</v>
      </c>
    </row>
    <row r="23" spans="1:18" s="24" customFormat="1" x14ac:dyDescent="0.45">
      <c r="A23" s="12"/>
      <c r="B23" s="35" t="s">
        <v>84</v>
      </c>
      <c r="C23" s="53">
        <f>C19-C22</f>
        <v>14353</v>
      </c>
      <c r="D23" s="53">
        <f t="shared" ref="D23:Q23" si="29">D19-D22</f>
        <v>16029</v>
      </c>
      <c r="E23" s="53">
        <f t="shared" si="29"/>
        <v>15410</v>
      </c>
      <c r="F23" s="53">
        <f t="shared" si="29"/>
        <v>16639</v>
      </c>
      <c r="G23" s="53">
        <f t="shared" si="29"/>
        <v>19423</v>
      </c>
      <c r="H23" s="53">
        <f t="shared" si="29"/>
        <v>22146</v>
      </c>
      <c r="I23" s="53">
        <f t="shared" si="29"/>
        <v>24108</v>
      </c>
      <c r="J23" s="53">
        <f t="shared" si="29"/>
        <v>26248</v>
      </c>
      <c r="K23" s="53">
        <f t="shared" si="29"/>
        <v>26750</v>
      </c>
      <c r="L23" s="53">
        <f t="shared" si="29"/>
        <v>29474</v>
      </c>
      <c r="M23" s="140">
        <f t="shared" si="29"/>
        <v>36936.321156328813</v>
      </c>
      <c r="N23" s="140">
        <f t="shared" si="29"/>
        <v>40487.473617622003</v>
      </c>
      <c r="O23" s="140">
        <f t="shared" si="29"/>
        <v>43971.496111319255</v>
      </c>
      <c r="P23" s="140">
        <f t="shared" si="29"/>
        <v>48581.185122405877</v>
      </c>
      <c r="Q23" s="140">
        <f t="shared" si="29"/>
        <v>53507.854507267824</v>
      </c>
    </row>
    <row r="24" spans="1:18" s="27" customFormat="1" x14ac:dyDescent="0.45">
      <c r="A24" s="17"/>
      <c r="B24" s="18" t="s">
        <v>89</v>
      </c>
      <c r="C24" s="19">
        <f t="shared" ref="C24:Q24" si="30">C23/C3</f>
        <v>0.20958180012849717</v>
      </c>
      <c r="D24" s="19">
        <f t="shared" si="30"/>
        <v>0.22729077451008195</v>
      </c>
      <c r="E24" s="19">
        <f t="shared" si="30"/>
        <v>0.18639250075597219</v>
      </c>
      <c r="F24" s="19">
        <f t="shared" si="30"/>
        <v>0.18326706391602693</v>
      </c>
      <c r="G24" s="19">
        <f t="shared" si="30"/>
        <v>0.19331754120550998</v>
      </c>
      <c r="H24" s="19">
        <f t="shared" si="30"/>
        <v>0.1820603250548746</v>
      </c>
      <c r="I24" s="19">
        <f t="shared" si="30"/>
        <v>0.16426035825492105</v>
      </c>
      <c r="J24" s="19">
        <f t="shared" si="30"/>
        <v>0.17080757467300059</v>
      </c>
      <c r="K24" s="19">
        <f t="shared" si="30"/>
        <v>0.16412049819007302</v>
      </c>
      <c r="L24" s="19">
        <f t="shared" si="30"/>
        <v>0.16498180800447804</v>
      </c>
      <c r="M24" s="58">
        <f t="shared" si="30"/>
        <v>0.18784914684126658</v>
      </c>
      <c r="N24" s="58">
        <f t="shared" si="30"/>
        <v>0.18708323761747836</v>
      </c>
      <c r="O24" s="58">
        <f t="shared" si="30"/>
        <v>0.18460525154764354</v>
      </c>
      <c r="P24" s="58">
        <f t="shared" si="30"/>
        <v>0.18531028490256291</v>
      </c>
      <c r="Q24" s="58">
        <f t="shared" si="30"/>
        <v>0.18544177090552241</v>
      </c>
      <c r="R24" s="29"/>
    </row>
    <row r="27" spans="1:18" ht="15.75" x14ac:dyDescent="0.5">
      <c r="A27" s="12" t="s">
        <v>78</v>
      </c>
      <c r="B27" s="261" t="str">
        <f>"Balance Sheet For "&amp;'Data Sheet'!B1</f>
        <v>Balance Sheet For INFOSYS LTD</v>
      </c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</row>
    <row r="28" spans="1:18" x14ac:dyDescent="0.45">
      <c r="B28" s="12" t="s">
        <v>559</v>
      </c>
      <c r="M28" s="141"/>
      <c r="N28" s="141"/>
      <c r="O28" s="141"/>
      <c r="P28" s="141"/>
      <c r="Q28" s="141"/>
    </row>
    <row r="29" spans="1:18" x14ac:dyDescent="0.45">
      <c r="B29" s="16" t="str">
        <f>'Data Sheet'!A57</f>
        <v>Equity Share Capital</v>
      </c>
      <c r="C29" s="49">
        <f>'Data Sheet'!B57</f>
        <v>1144</v>
      </c>
      <c r="D29" s="49">
        <f>'Data Sheet'!C57</f>
        <v>1088</v>
      </c>
      <c r="E29" s="49">
        <f>'Data Sheet'!D57</f>
        <v>2170</v>
      </c>
      <c r="F29" s="49">
        <f>'Data Sheet'!E57</f>
        <v>2122</v>
      </c>
      <c r="G29" s="49">
        <f>'Data Sheet'!F57</f>
        <v>2124</v>
      </c>
      <c r="H29" s="49">
        <f>'Data Sheet'!G57</f>
        <v>2098</v>
      </c>
      <c r="I29" s="49">
        <f>'Data Sheet'!H57</f>
        <v>2069</v>
      </c>
      <c r="J29" s="49">
        <f>'Data Sheet'!I57</f>
        <v>2071</v>
      </c>
      <c r="K29" s="49">
        <f>'Data Sheet'!J57</f>
        <v>2073</v>
      </c>
      <c r="L29" s="49">
        <f>'Data Sheet'!K57</f>
        <v>2024</v>
      </c>
      <c r="M29" s="142">
        <f>L29</f>
        <v>2024</v>
      </c>
      <c r="N29" s="142">
        <f t="shared" ref="N29:Q29" si="31">M29</f>
        <v>2024</v>
      </c>
      <c r="O29" s="142">
        <f t="shared" si="31"/>
        <v>2024</v>
      </c>
      <c r="P29" s="142">
        <f t="shared" si="31"/>
        <v>2024</v>
      </c>
      <c r="Q29" s="142">
        <f t="shared" si="31"/>
        <v>2024</v>
      </c>
    </row>
    <row r="30" spans="1:18" ht="14.65" thickBot="1" x14ac:dyDescent="0.5">
      <c r="B30" s="16" t="str">
        <f>'Data Sheet'!A58</f>
        <v>Reserves</v>
      </c>
      <c r="C30" s="49">
        <f>'Data Sheet'!B58</f>
        <v>67838</v>
      </c>
      <c r="D30" s="49">
        <f>'Data Sheet'!C58</f>
        <v>63835</v>
      </c>
      <c r="E30" s="49">
        <f>'Data Sheet'!D58</f>
        <v>62778</v>
      </c>
      <c r="F30" s="49">
        <f>'Data Sheet'!E58</f>
        <v>63328</v>
      </c>
      <c r="G30" s="49">
        <f>'Data Sheet'!F58</f>
        <v>74227</v>
      </c>
      <c r="H30" s="49">
        <f>'Data Sheet'!G58</f>
        <v>73252</v>
      </c>
      <c r="I30" s="49">
        <f>'Data Sheet'!H58</f>
        <v>73338</v>
      </c>
      <c r="J30" s="49">
        <f>'Data Sheet'!I58</f>
        <v>86045</v>
      </c>
      <c r="K30" s="49">
        <f>'Data Sheet'!J58</f>
        <v>93745</v>
      </c>
      <c r="L30" s="49">
        <f>'Data Sheet'!K58</f>
        <v>90828</v>
      </c>
      <c r="M30" s="142">
        <f>Calculation!S14</f>
        <v>105689.07139026529</v>
      </c>
      <c r="N30" s="142">
        <f>Calculation!T14</f>
        <v>121516.54094709025</v>
      </c>
      <c r="O30" s="142">
        <f>Calculation!U14</f>
        <v>138075.34849045443</v>
      </c>
      <c r="P30" s="142">
        <f>Calculation!V14</f>
        <v>157662.03354252092</v>
      </c>
      <c r="Q30" s="142">
        <f>Calculation!W14</f>
        <v>179111.99367368052</v>
      </c>
    </row>
    <row r="31" spans="1:18" x14ac:dyDescent="0.45">
      <c r="B31" s="31" t="s">
        <v>560</v>
      </c>
      <c r="C31" s="50">
        <f>SUM(C29:C30)</f>
        <v>68982</v>
      </c>
      <c r="D31" s="50">
        <f t="shared" ref="D31:L31" si="32">SUM(D29:D30)</f>
        <v>64923</v>
      </c>
      <c r="E31" s="50">
        <f t="shared" si="32"/>
        <v>64948</v>
      </c>
      <c r="F31" s="50">
        <f t="shared" si="32"/>
        <v>65450</v>
      </c>
      <c r="G31" s="50">
        <f t="shared" si="32"/>
        <v>76351</v>
      </c>
      <c r="H31" s="50">
        <f t="shared" si="32"/>
        <v>75350</v>
      </c>
      <c r="I31" s="50">
        <f t="shared" si="32"/>
        <v>75407</v>
      </c>
      <c r="J31" s="50">
        <f t="shared" si="32"/>
        <v>88116</v>
      </c>
      <c r="K31" s="50">
        <f t="shared" si="32"/>
        <v>95818</v>
      </c>
      <c r="L31" s="50">
        <f t="shared" si="32"/>
        <v>92852</v>
      </c>
      <c r="M31" s="138">
        <f t="shared" ref="M31" si="33">SUM(M29:M30)</f>
        <v>107713.07139026529</v>
      </c>
      <c r="N31" s="138">
        <f t="shared" ref="N31" si="34">SUM(N29:N30)</f>
        <v>123540.54094709025</v>
      </c>
      <c r="O31" s="138">
        <f t="shared" ref="O31" si="35">SUM(O29:O30)</f>
        <v>140099.34849045443</v>
      </c>
      <c r="P31" s="138">
        <f t="shared" ref="P31" si="36">SUM(P29:P30)</f>
        <v>159686.03354252092</v>
      </c>
      <c r="Q31" s="138">
        <f t="shared" ref="Q31" si="37">SUM(Q29:Q30)</f>
        <v>181135.99367368052</v>
      </c>
    </row>
    <row r="32" spans="1:18" x14ac:dyDescent="0.45"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143"/>
      <c r="N32" s="143"/>
      <c r="O32" s="143"/>
      <c r="P32" s="143"/>
      <c r="Q32" s="143"/>
    </row>
    <row r="33" spans="2:22" x14ac:dyDescent="0.45">
      <c r="B33" s="12" t="s">
        <v>100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143"/>
      <c r="N33" s="143"/>
      <c r="O33" s="143"/>
      <c r="P33" s="143"/>
      <c r="Q33" s="143"/>
    </row>
    <row r="34" spans="2:22" x14ac:dyDescent="0.45">
      <c r="B34" s="16" t="str">
        <f>'Data Sheet'!A59</f>
        <v>Borrowings</v>
      </c>
      <c r="C34" s="49">
        <f>'Data Sheet'!B59</f>
        <v>0</v>
      </c>
      <c r="D34" s="49">
        <f>'Data Sheet'!C59</f>
        <v>0</v>
      </c>
      <c r="E34" s="49">
        <f>'Data Sheet'!D59</f>
        <v>0</v>
      </c>
      <c r="F34" s="49">
        <f>'Data Sheet'!E59</f>
        <v>4633</v>
      </c>
      <c r="G34" s="49">
        <f>'Data Sheet'!F59</f>
        <v>5325</v>
      </c>
      <c r="H34" s="49">
        <f>'Data Sheet'!G59</f>
        <v>5474</v>
      </c>
      <c r="I34" s="49">
        <f>'Data Sheet'!H59</f>
        <v>8299</v>
      </c>
      <c r="J34" s="49">
        <f>'Data Sheet'!I59</f>
        <v>8359</v>
      </c>
      <c r="K34" s="49">
        <f>'Data Sheet'!J59</f>
        <v>8227</v>
      </c>
      <c r="L34" s="49">
        <f>'Data Sheet'!K59</f>
        <v>9176</v>
      </c>
      <c r="M34" s="142">
        <f>Calculation!S23</f>
        <v>9176</v>
      </c>
      <c r="N34" s="142">
        <f>Calculation!T23</f>
        <v>9176</v>
      </c>
      <c r="O34" s="142">
        <f>Calculation!U23</f>
        <v>9176</v>
      </c>
      <c r="P34" s="142">
        <f>Calculation!V23</f>
        <v>9176</v>
      </c>
      <c r="Q34" s="142">
        <f>Calculation!W23</f>
        <v>9176</v>
      </c>
    </row>
    <row r="35" spans="2:22" ht="14.65" thickBot="1" x14ac:dyDescent="0.5">
      <c r="B35" s="16" t="str">
        <f>'Data Sheet'!A60</f>
        <v>Other Liabilities</v>
      </c>
      <c r="C35" s="49">
        <f>'Data Sheet'!B60-SUM(C39:C40)</f>
        <v>13799</v>
      </c>
      <c r="D35" s="49">
        <f>'Data Sheet'!C60-SUM(D39:D40)</f>
        <v>13732</v>
      </c>
      <c r="E35" s="49">
        <f>'Data Sheet'!D60-SUM(E39:E40)</f>
        <v>17463</v>
      </c>
      <c r="F35" s="49">
        <f>'Data Sheet'!E60-SUM(F39:F40)</f>
        <v>18865</v>
      </c>
      <c r="G35" s="49">
        <f>'Data Sheet'!F60-SUM(G39:G40)</f>
        <v>23190</v>
      </c>
      <c r="H35" s="49">
        <f>'Data Sheet'!G60-SUM(H39:H40)</f>
        <v>31771</v>
      </c>
      <c r="I35" s="49">
        <f>'Data Sheet'!H60-SUM(I39:I40)</f>
        <v>37025</v>
      </c>
      <c r="J35" s="49">
        <f>'Data Sheet'!I60-SUM(J39:J40)</f>
        <v>35589</v>
      </c>
      <c r="K35" s="49">
        <f>'Data Sheet'!J60-SUM(K39:K40)</f>
        <v>39586</v>
      </c>
      <c r="L35" s="49">
        <f>'Data Sheet'!K60-SUM(L39:L40)</f>
        <v>47516</v>
      </c>
      <c r="M35" s="142">
        <f>Calculation!M49</f>
        <v>45222.947154369402</v>
      </c>
      <c r="N35" s="142">
        <f>Calculation!N49</f>
        <v>50390.530713080931</v>
      </c>
      <c r="O35" s="142">
        <f>Calculation!O49</f>
        <v>56369.408942016307</v>
      </c>
      <c r="P35" s="142">
        <f>Calculation!P49</f>
        <v>62708.562196332139</v>
      </c>
      <c r="Q35" s="142">
        <f>Calculation!Q49</f>
        <v>69925.344656930247</v>
      </c>
    </row>
    <row r="36" spans="2:22" x14ac:dyDescent="0.45">
      <c r="B36" s="31" t="s">
        <v>101</v>
      </c>
      <c r="C36" s="50">
        <f t="shared" ref="C36:Q36" si="38">SUM(C34:C35)</f>
        <v>13799</v>
      </c>
      <c r="D36" s="50">
        <f t="shared" si="38"/>
        <v>13732</v>
      </c>
      <c r="E36" s="50">
        <f t="shared" si="38"/>
        <v>17463</v>
      </c>
      <c r="F36" s="50">
        <f t="shared" si="38"/>
        <v>23498</v>
      </c>
      <c r="G36" s="50">
        <f t="shared" si="38"/>
        <v>28515</v>
      </c>
      <c r="H36" s="50">
        <f t="shared" si="38"/>
        <v>37245</v>
      </c>
      <c r="I36" s="50">
        <f t="shared" si="38"/>
        <v>45324</v>
      </c>
      <c r="J36" s="50">
        <f t="shared" si="38"/>
        <v>43948</v>
      </c>
      <c r="K36" s="50">
        <f t="shared" si="38"/>
        <v>47813</v>
      </c>
      <c r="L36" s="50">
        <f t="shared" si="38"/>
        <v>56692</v>
      </c>
      <c r="M36" s="138">
        <f t="shared" si="38"/>
        <v>54398.947154369402</v>
      </c>
      <c r="N36" s="138">
        <f t="shared" si="38"/>
        <v>59566.530713080931</v>
      </c>
      <c r="O36" s="138">
        <f t="shared" si="38"/>
        <v>65545.408942016307</v>
      </c>
      <c r="P36" s="138">
        <f t="shared" si="38"/>
        <v>71884.562196332146</v>
      </c>
      <c r="Q36" s="138">
        <f t="shared" si="38"/>
        <v>79101.344656930247</v>
      </c>
    </row>
    <row r="37" spans="2:22" x14ac:dyDescent="0.45"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143"/>
      <c r="N37" s="143"/>
      <c r="O37" s="143"/>
      <c r="P37" s="143"/>
      <c r="Q37" s="143"/>
    </row>
    <row r="38" spans="2:22" x14ac:dyDescent="0.45">
      <c r="B38" s="12" t="s">
        <v>96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143"/>
      <c r="N38" s="143"/>
      <c r="O38" s="143"/>
      <c r="P38" s="143"/>
      <c r="Q38" s="143"/>
    </row>
    <row r="39" spans="2:22" x14ac:dyDescent="0.45">
      <c r="B39" s="12" t="str">
        <f>'Manual Data'!B36</f>
        <v>Trade Payables</v>
      </c>
      <c r="C39" s="49">
        <f>'Manual Data'!C36</f>
        <v>367</v>
      </c>
      <c r="D39" s="49">
        <f>'Manual Data'!D36</f>
        <v>694</v>
      </c>
      <c r="E39" s="49">
        <f>'Manual Data'!E36</f>
        <v>1655</v>
      </c>
      <c r="F39" s="49">
        <f>'Manual Data'!F36</f>
        <v>2852</v>
      </c>
      <c r="G39" s="49">
        <f>'Manual Data'!G36</f>
        <v>2645</v>
      </c>
      <c r="H39" s="49">
        <f>'Manual Data'!H36</f>
        <v>4134</v>
      </c>
      <c r="I39" s="49">
        <f>'Manual Data'!I36</f>
        <v>3865</v>
      </c>
      <c r="J39" s="49">
        <f>'Manual Data'!J36</f>
        <v>3956</v>
      </c>
      <c r="K39" s="49">
        <f>'Manual Data'!K36</f>
        <v>4164</v>
      </c>
      <c r="L39" s="49">
        <f>'Manual Data'!L36</f>
        <v>4744</v>
      </c>
      <c r="M39" s="142">
        <f>Calculation!M54</f>
        <v>4506.0731871463977</v>
      </c>
      <c r="N39" s="142">
        <f>Calculation!N54</f>
        <v>5362.9041211939539</v>
      </c>
      <c r="O39" s="142">
        <f>Calculation!O54</f>
        <v>6278.4267452392123</v>
      </c>
      <c r="P39" s="142">
        <f>Calculation!P54</f>
        <v>7082.7691081657367</v>
      </c>
      <c r="Q39" s="142">
        <f>Calculation!Q54</f>
        <v>7664.9530914650022</v>
      </c>
    </row>
    <row r="40" spans="2:22" ht="14.65" thickBot="1" x14ac:dyDescent="0.5">
      <c r="B40" s="12" t="str">
        <f>'Manual Data'!B37</f>
        <v>Advance from Customers</v>
      </c>
      <c r="C40" s="49">
        <f>'Manual Data'!C37</f>
        <v>0</v>
      </c>
      <c r="D40" s="49">
        <f>'Manual Data'!D37</f>
        <v>0</v>
      </c>
      <c r="E40" s="49">
        <f>'Manual Data'!E37</f>
        <v>0</v>
      </c>
      <c r="F40" s="49">
        <f>'Manual Data'!F37</f>
        <v>0</v>
      </c>
      <c r="G40" s="49">
        <f>'Manual Data'!G37</f>
        <v>0</v>
      </c>
      <c r="H40" s="49">
        <f>'Manual Data'!H37</f>
        <v>0</v>
      </c>
      <c r="I40" s="49">
        <f>'Manual Data'!I37</f>
        <v>0</v>
      </c>
      <c r="J40" s="49">
        <f>'Manual Data'!J37</f>
        <v>0</v>
      </c>
      <c r="K40" s="49">
        <f>'Manual Data'!K37</f>
        <v>0</v>
      </c>
      <c r="L40" s="49">
        <f>'Manual Data'!L37</f>
        <v>0</v>
      </c>
      <c r="M40" s="142">
        <f>L40</f>
        <v>0</v>
      </c>
      <c r="N40" s="142">
        <f t="shared" ref="N40:Q40" si="39">M40</f>
        <v>0</v>
      </c>
      <c r="O40" s="142">
        <f t="shared" si="39"/>
        <v>0</v>
      </c>
      <c r="P40" s="142">
        <f t="shared" si="39"/>
        <v>0</v>
      </c>
      <c r="Q40" s="142">
        <f t="shared" si="39"/>
        <v>0</v>
      </c>
    </row>
    <row r="41" spans="2:22" x14ac:dyDescent="0.45">
      <c r="B41" s="31" t="s">
        <v>97</v>
      </c>
      <c r="C41" s="50">
        <f>SUM(C39:C40)</f>
        <v>367</v>
      </c>
      <c r="D41" s="50">
        <f t="shared" ref="D41:Q41" si="40">SUM(D39:D40)</f>
        <v>694</v>
      </c>
      <c r="E41" s="50">
        <f t="shared" si="40"/>
        <v>1655</v>
      </c>
      <c r="F41" s="50">
        <f t="shared" si="40"/>
        <v>2852</v>
      </c>
      <c r="G41" s="50">
        <f t="shared" si="40"/>
        <v>2645</v>
      </c>
      <c r="H41" s="50">
        <f t="shared" si="40"/>
        <v>4134</v>
      </c>
      <c r="I41" s="50">
        <f t="shared" si="40"/>
        <v>3865</v>
      </c>
      <c r="J41" s="50">
        <f t="shared" si="40"/>
        <v>3956</v>
      </c>
      <c r="K41" s="50">
        <f t="shared" si="40"/>
        <v>4164</v>
      </c>
      <c r="L41" s="50">
        <f t="shared" si="40"/>
        <v>4744</v>
      </c>
      <c r="M41" s="138">
        <f t="shared" si="40"/>
        <v>4506.0731871463977</v>
      </c>
      <c r="N41" s="138">
        <f t="shared" si="40"/>
        <v>5362.9041211939539</v>
      </c>
      <c r="O41" s="138">
        <f t="shared" si="40"/>
        <v>6278.4267452392123</v>
      </c>
      <c r="P41" s="138">
        <f t="shared" si="40"/>
        <v>7082.7691081657367</v>
      </c>
      <c r="Q41" s="138">
        <f t="shared" si="40"/>
        <v>7664.9530914650022</v>
      </c>
    </row>
    <row r="42" spans="2:22" ht="14.65" thickBot="1" x14ac:dyDescent="0.5"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144"/>
      <c r="N42" s="144"/>
      <c r="O42" s="144"/>
      <c r="P42" s="144"/>
      <c r="Q42" s="144"/>
    </row>
    <row r="43" spans="2:22" x14ac:dyDescent="0.45">
      <c r="B43" s="32" t="s">
        <v>98</v>
      </c>
      <c r="C43" s="50">
        <f>SUM(C41,C36)</f>
        <v>14166</v>
      </c>
      <c r="D43" s="50">
        <f t="shared" ref="D43:Q43" si="41">SUM(D41,D36)</f>
        <v>14426</v>
      </c>
      <c r="E43" s="50">
        <f t="shared" si="41"/>
        <v>19118</v>
      </c>
      <c r="F43" s="50">
        <f t="shared" si="41"/>
        <v>26350</v>
      </c>
      <c r="G43" s="50">
        <f t="shared" si="41"/>
        <v>31160</v>
      </c>
      <c r="H43" s="50">
        <f t="shared" si="41"/>
        <v>41379</v>
      </c>
      <c r="I43" s="50">
        <f t="shared" si="41"/>
        <v>49189</v>
      </c>
      <c r="J43" s="50">
        <f t="shared" si="41"/>
        <v>47904</v>
      </c>
      <c r="K43" s="50">
        <f t="shared" si="41"/>
        <v>51977</v>
      </c>
      <c r="L43" s="50">
        <f t="shared" si="41"/>
        <v>61436</v>
      </c>
      <c r="M43" s="138">
        <f t="shared" si="41"/>
        <v>58905.020341515803</v>
      </c>
      <c r="N43" s="138">
        <f t="shared" si="41"/>
        <v>64929.434834274885</v>
      </c>
      <c r="O43" s="138">
        <f t="shared" si="41"/>
        <v>71823.835687255516</v>
      </c>
      <c r="P43" s="138">
        <f t="shared" si="41"/>
        <v>78967.331304497886</v>
      </c>
      <c r="Q43" s="138">
        <f t="shared" si="41"/>
        <v>86766.297748395242</v>
      </c>
    </row>
    <row r="44" spans="2:22" ht="14.65" thickBot="1" x14ac:dyDescent="0.5"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44"/>
      <c r="N44" s="144"/>
      <c r="O44" s="144"/>
      <c r="P44" s="144"/>
      <c r="Q44" s="144"/>
    </row>
    <row r="45" spans="2:22" ht="14.65" thickBot="1" x14ac:dyDescent="0.5">
      <c r="B45" s="33" t="s">
        <v>106</v>
      </c>
      <c r="C45" s="53">
        <f t="shared" ref="C45:Q45" si="42">SUM(C41,C36,C31)</f>
        <v>83148</v>
      </c>
      <c r="D45" s="53">
        <f t="shared" si="42"/>
        <v>79349</v>
      </c>
      <c r="E45" s="53">
        <f t="shared" si="42"/>
        <v>84066</v>
      </c>
      <c r="F45" s="53">
        <f t="shared" si="42"/>
        <v>91800</v>
      </c>
      <c r="G45" s="53">
        <f t="shared" si="42"/>
        <v>107511</v>
      </c>
      <c r="H45" s="53">
        <f t="shared" si="42"/>
        <v>116729</v>
      </c>
      <c r="I45" s="53">
        <f t="shared" si="42"/>
        <v>124596</v>
      </c>
      <c r="J45" s="53">
        <f t="shared" si="42"/>
        <v>136020</v>
      </c>
      <c r="K45" s="53">
        <f t="shared" si="42"/>
        <v>147795</v>
      </c>
      <c r="L45" s="53">
        <f t="shared" si="42"/>
        <v>154288</v>
      </c>
      <c r="M45" s="145">
        <f t="shared" si="42"/>
        <v>166618.09173178108</v>
      </c>
      <c r="N45" s="145">
        <f t="shared" si="42"/>
        <v>188469.97578136512</v>
      </c>
      <c r="O45" s="145">
        <f t="shared" si="42"/>
        <v>211923.18417770995</v>
      </c>
      <c r="P45" s="145">
        <f t="shared" si="42"/>
        <v>238653.36484701879</v>
      </c>
      <c r="Q45" s="145">
        <f t="shared" si="42"/>
        <v>267902.29142207577</v>
      </c>
    </row>
    <row r="46" spans="2:22" x14ac:dyDescent="0.45"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143"/>
      <c r="N46" s="143"/>
      <c r="O46" s="143"/>
      <c r="P46" s="143"/>
      <c r="Q46" s="143"/>
    </row>
    <row r="47" spans="2:22" x14ac:dyDescent="0.45">
      <c r="B47" s="12" t="s">
        <v>99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143"/>
      <c r="N47" s="143"/>
      <c r="O47" s="143"/>
      <c r="P47" s="143"/>
      <c r="Q47" s="143"/>
      <c r="R47" s="127"/>
      <c r="S47" s="127"/>
      <c r="T47" s="127"/>
      <c r="U47" s="127"/>
      <c r="V47" s="127"/>
    </row>
    <row r="48" spans="2:22" x14ac:dyDescent="0.45">
      <c r="B48" s="16" t="str">
        <f>'Data Sheet'!A62</f>
        <v>Net Block</v>
      </c>
      <c r="C48" s="54">
        <f>'Data Sheet'!B62</f>
        <v>14179</v>
      </c>
      <c r="D48" s="54">
        <f>'Data Sheet'!C62</f>
        <v>12574</v>
      </c>
      <c r="E48" s="54">
        <f>'Data Sheet'!D62</f>
        <v>15710</v>
      </c>
      <c r="F48" s="54">
        <f>'Data Sheet'!E62</f>
        <v>23789</v>
      </c>
      <c r="G48" s="54">
        <f>'Data Sheet'!F62</f>
        <v>25505</v>
      </c>
      <c r="H48" s="54">
        <f>'Data Sheet'!G62</f>
        <v>25800</v>
      </c>
      <c r="I48" s="54">
        <f>'Data Sheet'!H62</f>
        <v>29225</v>
      </c>
      <c r="J48" s="54">
        <f>'Data Sheet'!I62</f>
        <v>27622</v>
      </c>
      <c r="K48" s="54">
        <f>'Data Sheet'!J62</f>
        <v>30961</v>
      </c>
      <c r="L48" s="54">
        <f>'Data Sheet'!K62</f>
        <v>33770</v>
      </c>
      <c r="M48" s="142">
        <f>Calculation!S7</f>
        <v>33664.389196786622</v>
      </c>
      <c r="N48" s="142">
        <f>Calculation!T7</f>
        <v>33604.96254727093</v>
      </c>
      <c r="O48" s="142">
        <f>Calculation!U7</f>
        <v>33891.802461493586</v>
      </c>
      <c r="P48" s="142">
        <f>Calculation!V7</f>
        <v>34381.205585299496</v>
      </c>
      <c r="Q48" s="142">
        <f>Calculation!W7</f>
        <v>34804.175896069559</v>
      </c>
    </row>
    <row r="49" spans="1:17" x14ac:dyDescent="0.45">
      <c r="B49" s="16" t="str">
        <f>'Data Sheet'!A63</f>
        <v>Capital Work in Progress</v>
      </c>
      <c r="C49" s="54">
        <f>'Data Sheet'!B63</f>
        <v>1365</v>
      </c>
      <c r="D49" s="54">
        <f>'Data Sheet'!C63</f>
        <v>1606</v>
      </c>
      <c r="E49" s="54">
        <f>'Data Sheet'!D63</f>
        <v>1388</v>
      </c>
      <c r="F49" s="54">
        <f>'Data Sheet'!E63</f>
        <v>954</v>
      </c>
      <c r="G49" s="54">
        <f>'Data Sheet'!F63</f>
        <v>922</v>
      </c>
      <c r="H49" s="54">
        <f>'Data Sheet'!G63</f>
        <v>416</v>
      </c>
      <c r="I49" s="54">
        <f>'Data Sheet'!H63</f>
        <v>288</v>
      </c>
      <c r="J49" s="54">
        <f>'Data Sheet'!I63</f>
        <v>293</v>
      </c>
      <c r="K49" s="54">
        <f>'Data Sheet'!J63</f>
        <v>814</v>
      </c>
      <c r="L49" s="54">
        <f>'Data Sheet'!K63</f>
        <v>526</v>
      </c>
      <c r="M49" s="142">
        <f>Calculation!M66</f>
        <v>1572.2949823394167</v>
      </c>
      <c r="N49" s="142">
        <f>Calculation!N66</f>
        <v>1402.9593551841422</v>
      </c>
      <c r="O49" s="142">
        <f>Calculation!O66</f>
        <v>1123.5487317004804</v>
      </c>
      <c r="P49" s="142">
        <f>Calculation!P66</f>
        <v>949.98759674896974</v>
      </c>
      <c r="Q49" s="142">
        <f>Calculation!Q66</f>
        <v>918.26848068700042</v>
      </c>
    </row>
    <row r="50" spans="1:17" x14ac:dyDescent="0.45">
      <c r="B50" s="16" t="str">
        <f>'Data Sheet'!A64</f>
        <v>Investments</v>
      </c>
      <c r="C50" s="54">
        <f>'Data Sheet'!B64</f>
        <v>16423</v>
      </c>
      <c r="D50" s="54">
        <f>'Data Sheet'!C64</f>
        <v>12163</v>
      </c>
      <c r="E50" s="54">
        <f>'Data Sheet'!D64</f>
        <v>11261</v>
      </c>
      <c r="F50" s="54">
        <f>'Data Sheet'!E64</f>
        <v>8792</v>
      </c>
      <c r="G50" s="54">
        <f>'Data Sheet'!F64</f>
        <v>14205</v>
      </c>
      <c r="H50" s="54">
        <f>'Data Sheet'!G64</f>
        <v>20324</v>
      </c>
      <c r="I50" s="54">
        <f>'Data Sheet'!H64</f>
        <v>19478</v>
      </c>
      <c r="J50" s="54">
        <f>'Data Sheet'!I64</f>
        <v>24623</v>
      </c>
      <c r="K50" s="54">
        <f>'Data Sheet'!J64</f>
        <v>23541</v>
      </c>
      <c r="L50" s="54">
        <f>'Data Sheet'!K64</f>
        <v>21880</v>
      </c>
      <c r="M50" s="142">
        <f>Calculation!M62</f>
        <v>29762.378312369125</v>
      </c>
      <c r="N50" s="142">
        <f>Calculation!N62</f>
        <v>30843.324017528234</v>
      </c>
      <c r="O50" s="142">
        <f>Calculation!O62</f>
        <v>33233.678783140669</v>
      </c>
      <c r="P50" s="142">
        <f>Calculation!P62</f>
        <v>36664.938566731078</v>
      </c>
      <c r="Q50" s="142">
        <f>Calculation!Q62</f>
        <v>41595.805925508736</v>
      </c>
    </row>
    <row r="51" spans="1:17" ht="14.65" thickBot="1" x14ac:dyDescent="0.5">
      <c r="B51" s="16" t="str">
        <f>'Data Sheet'!A65</f>
        <v>Other Assets</v>
      </c>
      <c r="C51" s="54">
        <f>'Data Sheet'!B65-SUM(C55:C57)</f>
        <v>16234</v>
      </c>
      <c r="D51" s="54">
        <f>'Data Sheet'!C65-SUM(D55:D57)</f>
        <v>20046</v>
      </c>
      <c r="E51" s="54">
        <f>'Data Sheet'!D65-SUM(E55:E57)</f>
        <v>21312</v>
      </c>
      <c r="F51" s="54">
        <f>'Data Sheet'!E65-SUM(F55:F57)</f>
        <v>21129</v>
      </c>
      <c r="G51" s="54">
        <f>'Data Sheet'!F65-SUM(G55:G57)</f>
        <v>22871</v>
      </c>
      <c r="H51" s="54">
        <f>'Data Sheet'!G65-SUM(H55:H57)</f>
        <v>30019</v>
      </c>
      <c r="I51" s="54">
        <f>'Data Sheet'!H65-SUM(I55:I57)</f>
        <v>38008</v>
      </c>
      <c r="J51" s="54">
        <f>'Data Sheet'!I65-SUM(J55:J57)</f>
        <v>38503</v>
      </c>
      <c r="K51" s="54">
        <f>'Data Sheet'!J65-SUM(K55:K57)</f>
        <v>36866</v>
      </c>
      <c r="L51" s="54">
        <f>'Data Sheet'!K65-SUM(L55:L57)</f>
        <v>40677</v>
      </c>
      <c r="M51" s="142">
        <f>Calculation!M70</f>
        <v>48166.322896042671</v>
      </c>
      <c r="N51" s="142">
        <f>Calculation!N70</f>
        <v>53184.57847200679</v>
      </c>
      <c r="O51" s="142">
        <f>Calculation!O70</f>
        <v>57619.55442849228</v>
      </c>
      <c r="P51" s="142">
        <f>Calculation!P70</f>
        <v>63001.592078243113</v>
      </c>
      <c r="Q51" s="142">
        <f>Calculation!Q70</f>
        <v>69560.59271978309</v>
      </c>
    </row>
    <row r="52" spans="1:17" x14ac:dyDescent="0.45">
      <c r="B52" s="31" t="s">
        <v>103</v>
      </c>
      <c r="C52" s="50">
        <f>SUM(C48:C51)</f>
        <v>48201</v>
      </c>
      <c r="D52" s="50">
        <f t="shared" ref="D52:Q52" si="43">SUM(D48:D51)</f>
        <v>46389</v>
      </c>
      <c r="E52" s="50">
        <f t="shared" si="43"/>
        <v>49671</v>
      </c>
      <c r="F52" s="50">
        <f t="shared" si="43"/>
        <v>54664</v>
      </c>
      <c r="G52" s="50">
        <f t="shared" si="43"/>
        <v>63503</v>
      </c>
      <c r="H52" s="50">
        <f t="shared" si="43"/>
        <v>76559</v>
      </c>
      <c r="I52" s="50">
        <f t="shared" si="43"/>
        <v>86999</v>
      </c>
      <c r="J52" s="50">
        <f t="shared" si="43"/>
        <v>91041</v>
      </c>
      <c r="K52" s="50">
        <f t="shared" si="43"/>
        <v>92182</v>
      </c>
      <c r="L52" s="50">
        <f t="shared" si="43"/>
        <v>96853</v>
      </c>
      <c r="M52" s="138">
        <f t="shared" si="43"/>
        <v>113165.38538753783</v>
      </c>
      <c r="N52" s="138">
        <f t="shared" si="43"/>
        <v>119035.8243919901</v>
      </c>
      <c r="O52" s="138">
        <f t="shared" si="43"/>
        <v>125868.58440482702</v>
      </c>
      <c r="P52" s="138">
        <f t="shared" si="43"/>
        <v>134997.72382702265</v>
      </c>
      <c r="Q52" s="138">
        <f t="shared" si="43"/>
        <v>146878.84302204839</v>
      </c>
    </row>
    <row r="53" spans="1:17" x14ac:dyDescent="0.45">
      <c r="C53" s="52"/>
      <c r="D53" s="51"/>
      <c r="E53" s="51"/>
      <c r="F53" s="51"/>
      <c r="G53" s="51"/>
      <c r="H53" s="51"/>
      <c r="I53" s="51"/>
      <c r="J53" s="51"/>
      <c r="K53" s="51"/>
      <c r="L53" s="51"/>
      <c r="M53" s="143"/>
      <c r="N53" s="143"/>
      <c r="O53" s="143"/>
      <c r="P53" s="143"/>
      <c r="Q53" s="143"/>
    </row>
    <row r="54" spans="1:17" x14ac:dyDescent="0.45">
      <c r="B54" s="12" t="s">
        <v>102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143"/>
      <c r="N54" s="143"/>
      <c r="O54" s="143"/>
      <c r="P54" s="143"/>
      <c r="Q54" s="143"/>
    </row>
    <row r="55" spans="1:17" x14ac:dyDescent="0.45">
      <c r="B55" s="16" t="str">
        <f>'Data Sheet'!A67</f>
        <v>Receivables</v>
      </c>
      <c r="C55" s="54">
        <f>'Data Sheet'!B67</f>
        <v>12322</v>
      </c>
      <c r="D55" s="54">
        <f>'Data Sheet'!C67</f>
        <v>13142</v>
      </c>
      <c r="E55" s="54">
        <f>'Data Sheet'!D67</f>
        <v>14827</v>
      </c>
      <c r="F55" s="54">
        <f>'Data Sheet'!E67</f>
        <v>18487</v>
      </c>
      <c r="G55" s="54">
        <f>'Data Sheet'!F67</f>
        <v>19294</v>
      </c>
      <c r="H55" s="54">
        <f>'Data Sheet'!G67</f>
        <v>22698</v>
      </c>
      <c r="I55" s="54">
        <f>'Data Sheet'!H67</f>
        <v>25424</v>
      </c>
      <c r="J55" s="54">
        <f>'Data Sheet'!I67</f>
        <v>30193</v>
      </c>
      <c r="K55" s="54">
        <f>'Data Sheet'!J67</f>
        <v>31158</v>
      </c>
      <c r="L55" s="54">
        <f>'Data Sheet'!K67</f>
        <v>35234</v>
      </c>
      <c r="M55" s="142">
        <f>Calculation!M58</f>
        <v>37083.325340990123</v>
      </c>
      <c r="N55" s="142">
        <f>Calculation!N58</f>
        <v>41002.688880705457</v>
      </c>
      <c r="O55" s="142">
        <f>Calculation!O58</f>
        <v>45202.88921012669</v>
      </c>
      <c r="P55" s="142">
        <f>Calculation!P58</f>
        <v>50025.20556651966</v>
      </c>
      <c r="Q55" s="142">
        <f>Calculation!Q58</f>
        <v>54689.824088129943</v>
      </c>
    </row>
    <row r="56" spans="1:17" x14ac:dyDescent="0.45">
      <c r="B56" s="16" t="str">
        <f>'Data Sheet'!A68</f>
        <v>Inventory</v>
      </c>
      <c r="C56" s="54">
        <f>'Data Sheet'!B68</f>
        <v>0</v>
      </c>
      <c r="D56" s="54">
        <f>'Data Sheet'!C68</f>
        <v>0</v>
      </c>
      <c r="E56" s="54">
        <f>'Data Sheet'!D68</f>
        <v>0</v>
      </c>
      <c r="F56" s="54">
        <f>'Data Sheet'!E68</f>
        <v>0</v>
      </c>
      <c r="G56" s="54">
        <f>'Data Sheet'!F68</f>
        <v>0</v>
      </c>
      <c r="H56" s="54">
        <f>'Data Sheet'!G68</f>
        <v>0</v>
      </c>
      <c r="I56" s="54">
        <f>'Data Sheet'!H68</f>
        <v>0</v>
      </c>
      <c r="J56" s="54">
        <f>'Data Sheet'!I68</f>
        <v>0</v>
      </c>
      <c r="K56" s="54">
        <f>'Data Sheet'!J68</f>
        <v>0</v>
      </c>
      <c r="L56" s="54">
        <f>'Data Sheet'!K68</f>
        <v>0</v>
      </c>
      <c r="M56" s="142">
        <f>L56</f>
        <v>0</v>
      </c>
      <c r="N56" s="142">
        <f t="shared" ref="N56:Q56" si="44">M56</f>
        <v>0</v>
      </c>
      <c r="O56" s="142">
        <f t="shared" si="44"/>
        <v>0</v>
      </c>
      <c r="P56" s="142">
        <f t="shared" si="44"/>
        <v>0</v>
      </c>
      <c r="Q56" s="142">
        <f t="shared" si="44"/>
        <v>0</v>
      </c>
    </row>
    <row r="57" spans="1:17" ht="14.65" thickBot="1" x14ac:dyDescent="0.5">
      <c r="B57" s="16" t="str">
        <f>'Data Sheet'!A69</f>
        <v>Cash &amp; Bank</v>
      </c>
      <c r="C57" s="54">
        <f>'Data Sheet'!B69</f>
        <v>22625</v>
      </c>
      <c r="D57" s="54">
        <f>'Data Sheet'!C69</f>
        <v>19818</v>
      </c>
      <c r="E57" s="54">
        <f>'Data Sheet'!D69</f>
        <v>19568</v>
      </c>
      <c r="F57" s="54">
        <f>'Data Sheet'!E69</f>
        <v>18649</v>
      </c>
      <c r="G57" s="54">
        <f>'Data Sheet'!F69</f>
        <v>24714</v>
      </c>
      <c r="H57" s="54">
        <f>'Data Sheet'!G69</f>
        <v>17472</v>
      </c>
      <c r="I57" s="54">
        <f>'Data Sheet'!H69</f>
        <v>12173</v>
      </c>
      <c r="J57" s="54">
        <f>'Data Sheet'!I69</f>
        <v>14786</v>
      </c>
      <c r="K57" s="54">
        <f>'Data Sheet'!J69</f>
        <v>24455</v>
      </c>
      <c r="L57" s="54">
        <f>'Data Sheet'!K69</f>
        <v>22201</v>
      </c>
      <c r="M57" s="142">
        <f>M95</f>
        <v>16369.381003253136</v>
      </c>
      <c r="N57" s="142">
        <f t="shared" ref="N57:Q57" si="45">N95</f>
        <v>28431.462508669585</v>
      </c>
      <c r="O57" s="142">
        <f t="shared" si="45"/>
        <v>40851.710562756256</v>
      </c>
      <c r="P57" s="142">
        <f t="shared" si="45"/>
        <v>53630.435453476501</v>
      </c>
      <c r="Q57" s="142">
        <f t="shared" si="45"/>
        <v>66333.624311897467</v>
      </c>
    </row>
    <row r="58" spans="1:17" x14ac:dyDescent="0.45">
      <c r="B58" s="31" t="s">
        <v>104</v>
      </c>
      <c r="C58" s="50">
        <f>SUM(C55:C57)</f>
        <v>34947</v>
      </c>
      <c r="D58" s="50">
        <f t="shared" ref="D58:Q58" si="46">SUM(D55:D57)</f>
        <v>32960</v>
      </c>
      <c r="E58" s="50">
        <f t="shared" si="46"/>
        <v>34395</v>
      </c>
      <c r="F58" s="50">
        <f t="shared" si="46"/>
        <v>37136</v>
      </c>
      <c r="G58" s="50">
        <f t="shared" si="46"/>
        <v>44008</v>
      </c>
      <c r="H58" s="50">
        <f t="shared" si="46"/>
        <v>40170</v>
      </c>
      <c r="I58" s="50">
        <f t="shared" si="46"/>
        <v>37597</v>
      </c>
      <c r="J58" s="50">
        <f t="shared" si="46"/>
        <v>44979</v>
      </c>
      <c r="K58" s="50">
        <f t="shared" si="46"/>
        <v>55613</v>
      </c>
      <c r="L58" s="50">
        <f t="shared" si="46"/>
        <v>57435</v>
      </c>
      <c r="M58" s="138">
        <f t="shared" si="46"/>
        <v>53452.706344243255</v>
      </c>
      <c r="N58" s="138">
        <f t="shared" si="46"/>
        <v>69434.151389375038</v>
      </c>
      <c r="O58" s="138">
        <f t="shared" si="46"/>
        <v>86054.599772882939</v>
      </c>
      <c r="P58" s="138">
        <f t="shared" si="46"/>
        <v>103655.64101999617</v>
      </c>
      <c r="Q58" s="138">
        <f t="shared" si="46"/>
        <v>121023.44840002741</v>
      </c>
    </row>
    <row r="59" spans="1:17" ht="14.65" thickBot="1" x14ac:dyDescent="0.5">
      <c r="M59" s="141"/>
      <c r="N59" s="141"/>
      <c r="O59" s="141"/>
      <c r="P59" s="141"/>
      <c r="Q59" s="141"/>
    </row>
    <row r="60" spans="1:17" ht="14.65" thickBot="1" x14ac:dyDescent="0.5">
      <c r="B60" s="35" t="s">
        <v>105</v>
      </c>
      <c r="C60" s="56">
        <f>SUM(C58,C52)</f>
        <v>83148</v>
      </c>
      <c r="D60" s="56">
        <f t="shared" ref="D60:Q60" si="47">SUM(D58,D52)</f>
        <v>79349</v>
      </c>
      <c r="E60" s="56">
        <f t="shared" si="47"/>
        <v>84066</v>
      </c>
      <c r="F60" s="56">
        <f t="shared" si="47"/>
        <v>91800</v>
      </c>
      <c r="G60" s="56">
        <f t="shared" si="47"/>
        <v>107511</v>
      </c>
      <c r="H60" s="56">
        <f t="shared" si="47"/>
        <v>116729</v>
      </c>
      <c r="I60" s="56">
        <f t="shared" si="47"/>
        <v>124596</v>
      </c>
      <c r="J60" s="56">
        <f t="shared" si="47"/>
        <v>136020</v>
      </c>
      <c r="K60" s="56">
        <f t="shared" si="47"/>
        <v>147795</v>
      </c>
      <c r="L60" s="56">
        <f t="shared" si="47"/>
        <v>154288</v>
      </c>
      <c r="M60" s="146">
        <f t="shared" si="47"/>
        <v>166618.09173178108</v>
      </c>
      <c r="N60" s="146">
        <f t="shared" si="47"/>
        <v>188469.97578136512</v>
      </c>
      <c r="O60" s="146">
        <f t="shared" si="47"/>
        <v>211923.18417770998</v>
      </c>
      <c r="P60" s="146">
        <f t="shared" si="47"/>
        <v>238653.36484701882</v>
      </c>
      <c r="Q60" s="146">
        <f t="shared" si="47"/>
        <v>267902.29142207582</v>
      </c>
    </row>
    <row r="61" spans="1:17" x14ac:dyDescent="0.45">
      <c r="M61" s="167" t="str">
        <f t="shared" ref="M61:Q61" si="48">IF(M60=M45,"OK","ERROR")</f>
        <v>OK</v>
      </c>
      <c r="N61" s="167" t="str">
        <f t="shared" si="48"/>
        <v>OK</v>
      </c>
      <c r="O61" s="167" t="str">
        <f t="shared" si="48"/>
        <v>OK</v>
      </c>
      <c r="P61" s="167" t="str">
        <f t="shared" si="48"/>
        <v>OK</v>
      </c>
      <c r="Q61" s="167" t="str">
        <f t="shared" si="48"/>
        <v>OK</v>
      </c>
    </row>
    <row r="62" spans="1:17" ht="14.65" thickBot="1" x14ac:dyDescent="0.5"/>
    <row r="63" spans="1:17" ht="16.149999999999999" thickBot="1" x14ac:dyDescent="0.55000000000000004">
      <c r="A63" s="34" t="s">
        <v>78</v>
      </c>
      <c r="B63" s="261" t="str">
        <f>"Cash-Flow Statement for "&amp;'Data Sheet'!B1</f>
        <v>Cash-Flow Statement for INFOSYS LTD</v>
      </c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</row>
    <row r="64" spans="1:17" x14ac:dyDescent="0.45">
      <c r="B64" s="12" t="str">
        <f>'Manual Data'!B3</f>
        <v>Cash from Operating Activity </v>
      </c>
      <c r="M64" s="141"/>
      <c r="N64" s="141"/>
      <c r="O64" s="141"/>
      <c r="P64" s="141"/>
      <c r="Q64" s="141"/>
    </row>
    <row r="65" spans="2:17" x14ac:dyDescent="0.45">
      <c r="B65" s="12" t="str">
        <f>'Manual Data'!B4</f>
        <v>Profit from operations</v>
      </c>
      <c r="C65" s="54">
        <f>'Manual Data'!C4</f>
        <v>19340</v>
      </c>
      <c r="D65" s="54">
        <f>'Manual Data'!D4</f>
        <v>19963</v>
      </c>
      <c r="E65" s="54">
        <f>'Manual Data'!E4</f>
        <v>22126</v>
      </c>
      <c r="F65" s="54">
        <f>'Manual Data'!F4</f>
        <v>23920</v>
      </c>
      <c r="G65" s="54">
        <f>'Manual Data'!G4</f>
        <v>28845</v>
      </c>
      <c r="H65" s="54">
        <f>'Manual Data'!H4</f>
        <v>32921</v>
      </c>
      <c r="I65" s="54">
        <f>'Manual Data'!I4</f>
        <v>37605</v>
      </c>
      <c r="J65" s="54">
        <f>'Manual Data'!J4</f>
        <v>39523</v>
      </c>
      <c r="K65" s="54">
        <f>'Manual Data'!K4</f>
        <v>41591</v>
      </c>
      <c r="L65" s="54">
        <f>'Manual Data'!L4</f>
        <v>45273</v>
      </c>
      <c r="M65" s="142">
        <f>M14+M13-M17</f>
        <v>49239.439908379994</v>
      </c>
      <c r="N65" s="142">
        <f t="shared" ref="N65:Q65" si="49">N14+N13-N17</f>
        <v>53764.94273425165</v>
      </c>
      <c r="O65" s="142">
        <f t="shared" si="49"/>
        <v>58768.704288737172</v>
      </c>
      <c r="P65" s="142">
        <f t="shared" si="49"/>
        <v>64791.389926794705</v>
      </c>
      <c r="Q65" s="142">
        <f t="shared" si="49"/>
        <v>71439.534675459348</v>
      </c>
    </row>
    <row r="66" spans="2:17" x14ac:dyDescent="0.45">
      <c r="B66" s="12" t="str">
        <f>'Manual Data'!B5</f>
        <v>Receivables</v>
      </c>
      <c r="C66" s="54">
        <f>'Manual Data'!C5</f>
        <v>-1743</v>
      </c>
      <c r="D66" s="54">
        <f>'Manual Data'!D5</f>
        <v>-1523</v>
      </c>
      <c r="E66" s="54">
        <f>'Manual Data'!E5</f>
        <v>-2881</v>
      </c>
      <c r="F66" s="54">
        <f>'Manual Data'!F5</f>
        <v>-3861</v>
      </c>
      <c r="G66" s="54">
        <f>'Manual Data'!G5</f>
        <v>-1835</v>
      </c>
      <c r="H66" s="54">
        <f>'Manual Data'!H5</f>
        <v>-7937</v>
      </c>
      <c r="I66" s="54">
        <f>'Manual Data'!I5</f>
        <v>-7076</v>
      </c>
      <c r="J66" s="54">
        <f>'Manual Data'!J5</f>
        <v>-2667</v>
      </c>
      <c r="K66" s="54">
        <f>'Manual Data'!K5</f>
        <v>-1769</v>
      </c>
      <c r="L66" s="54">
        <f>'Manual Data'!L5</f>
        <v>-5177</v>
      </c>
      <c r="M66" s="142">
        <f>IF(M55&gt;L55,-ABS(M55-L55),ABS(M55-L55))</f>
        <v>-1849.3253409901226</v>
      </c>
      <c r="N66" s="142">
        <f t="shared" ref="N66:Q66" si="50">IF(N55&gt;M55,-ABS(N55-M55),ABS(N55-M55))</f>
        <v>-3919.3635397153339</v>
      </c>
      <c r="O66" s="142">
        <f t="shared" si="50"/>
        <v>-4200.2003294212336</v>
      </c>
      <c r="P66" s="142">
        <f t="shared" si="50"/>
        <v>-4822.3163563929702</v>
      </c>
      <c r="Q66" s="142">
        <f t="shared" si="50"/>
        <v>-4664.6185216102822</v>
      </c>
    </row>
    <row r="67" spans="2:17" x14ac:dyDescent="0.45">
      <c r="B67" s="12" t="str">
        <f>'Manual Data'!B6</f>
        <v>Payables</v>
      </c>
      <c r="C67" s="54">
        <f>'Manual Data'!C6</f>
        <v>-19</v>
      </c>
      <c r="D67" s="54">
        <f>'Manual Data'!D6</f>
        <v>328</v>
      </c>
      <c r="E67" s="54">
        <f>'Manual Data'!E6</f>
        <v>916</v>
      </c>
      <c r="F67" s="54">
        <f>'Manual Data'!F6</f>
        <v>-373</v>
      </c>
      <c r="G67" s="54">
        <f>'Manual Data'!G6</f>
        <v>-245</v>
      </c>
      <c r="H67" s="54">
        <f>'Manual Data'!H6</f>
        <v>1489</v>
      </c>
      <c r="I67" s="54">
        <f>'Manual Data'!I6</f>
        <v>-279</v>
      </c>
      <c r="J67" s="54">
        <f>'Manual Data'!J6</f>
        <v>91</v>
      </c>
      <c r="K67" s="54">
        <f>'Manual Data'!K6</f>
        <v>176</v>
      </c>
      <c r="L67" s="54">
        <f>'Manual Data'!L6</f>
        <v>-26</v>
      </c>
      <c r="M67" s="142">
        <f>IF(M39&gt;L39,ABS(M39-L39),-ABS(M39-L39))</f>
        <v>-237.92681285360231</v>
      </c>
      <c r="N67" s="142">
        <f t="shared" ref="N67:Q67" si="51">IF(N39&gt;M39,ABS(N39-M39),-ABS(N39-M39))</f>
        <v>856.83093404755618</v>
      </c>
      <c r="O67" s="142">
        <f t="shared" si="51"/>
        <v>915.52262404525845</v>
      </c>
      <c r="P67" s="142">
        <f t="shared" si="51"/>
        <v>804.3423629265244</v>
      </c>
      <c r="Q67" s="142">
        <f t="shared" si="51"/>
        <v>582.18398329926549</v>
      </c>
    </row>
    <row r="68" spans="2:17" x14ac:dyDescent="0.45">
      <c r="B68" s="12" t="str">
        <f>'Manual Data'!B7</f>
        <v>Loans Advances</v>
      </c>
      <c r="C68" s="54">
        <f>'Manual Data'!C7</f>
        <v>0</v>
      </c>
      <c r="D68" s="54">
        <f>'Manual Data'!D7</f>
        <v>0</v>
      </c>
      <c r="E68" s="54">
        <f>'Manual Data'!E7</f>
        <v>0</v>
      </c>
      <c r="F68" s="54">
        <f>'Manual Data'!F7</f>
        <v>0</v>
      </c>
      <c r="G68" s="54">
        <f>'Manual Data'!G7</f>
        <v>-534</v>
      </c>
      <c r="H68" s="54">
        <f>'Manual Data'!H7</f>
        <v>-1914</v>
      </c>
      <c r="I68" s="54">
        <f>'Manual Data'!I7</f>
        <v>-3108</v>
      </c>
      <c r="J68" s="54">
        <f>'Manual Data'!J7</f>
        <v>-1172</v>
      </c>
      <c r="K68" s="54">
        <f>'Manual Data'!K7</f>
        <v>-1024</v>
      </c>
      <c r="L68" s="54">
        <f>'Manual Data'!L7</f>
        <v>-2645</v>
      </c>
      <c r="M68" s="142">
        <f>IF(M51&gt;L51,-ABS(M51-L51),ABS(M51-L51))</f>
        <v>-7489.3228960426713</v>
      </c>
      <c r="N68" s="142">
        <f t="shared" ref="N68:Q68" si="52">IF(N51&gt;M51,-ABS(N51-M51),ABS(N51-M51))</f>
        <v>-5018.2555759641182</v>
      </c>
      <c r="O68" s="142">
        <f t="shared" si="52"/>
        <v>-4434.9759564854903</v>
      </c>
      <c r="P68" s="142">
        <f t="shared" si="52"/>
        <v>-5382.0376497508332</v>
      </c>
      <c r="Q68" s="142">
        <f t="shared" si="52"/>
        <v>-6559.0006415399766</v>
      </c>
    </row>
    <row r="69" spans="2:17" x14ac:dyDescent="0.45">
      <c r="B69" s="12" t="str">
        <f>'Manual Data'!B8</f>
        <v>Other WC items</v>
      </c>
      <c r="C69" s="54">
        <f>'Manual Data'!C8</f>
        <v>-394</v>
      </c>
      <c r="D69" s="54">
        <f>'Manual Data'!D8</f>
        <v>1279</v>
      </c>
      <c r="E69" s="54">
        <f>'Manual Data'!E8</f>
        <v>1512</v>
      </c>
      <c r="F69" s="54">
        <f>'Manual Data'!F8</f>
        <v>1867</v>
      </c>
      <c r="G69" s="54">
        <f>'Manual Data'!G8</f>
        <v>3382</v>
      </c>
      <c r="H69" s="54">
        <f>'Manual Data'!H8</f>
        <v>6938</v>
      </c>
      <c r="I69" s="54">
        <f>'Manual Data'!I8</f>
        <v>4119</v>
      </c>
      <c r="J69" s="54">
        <f>'Manual Data'!J8</f>
        <v>-1334</v>
      </c>
      <c r="K69" s="54">
        <f>'Manual Data'!K8</f>
        <v>2322</v>
      </c>
      <c r="L69" s="54">
        <f>'Manual Data'!L8</f>
        <v>5209</v>
      </c>
      <c r="M69" s="142">
        <f>IF(M35&gt;L35,ABS(M35-L35),-ABS(M35-L35))</f>
        <v>-2293.0528456305983</v>
      </c>
      <c r="N69" s="142">
        <f t="shared" ref="N69:Q69" si="53">IF(N35&gt;M35,ABS(N35-M35),-ABS(N35-M35))</f>
        <v>5167.5835587115289</v>
      </c>
      <c r="O69" s="142">
        <f t="shared" si="53"/>
        <v>5978.8782289353767</v>
      </c>
      <c r="P69" s="142">
        <f t="shared" si="53"/>
        <v>6339.1532543158319</v>
      </c>
      <c r="Q69" s="142">
        <f t="shared" si="53"/>
        <v>7216.7824605981077</v>
      </c>
    </row>
    <row r="70" spans="2:17" x14ac:dyDescent="0.45">
      <c r="B70" s="12" t="str">
        <f>'Manual Data'!B9</f>
        <v>Working capital changes</v>
      </c>
      <c r="C70" s="60">
        <f>'Manual Data'!C9</f>
        <v>-2156</v>
      </c>
      <c r="D70" s="60">
        <f>'Manual Data'!D9</f>
        <v>84</v>
      </c>
      <c r="E70" s="60">
        <f>'Manual Data'!E9</f>
        <v>-453</v>
      </c>
      <c r="F70" s="60">
        <f>'Manual Data'!F9</f>
        <v>-2367</v>
      </c>
      <c r="G70" s="60">
        <f>'Manual Data'!G9</f>
        <v>768</v>
      </c>
      <c r="H70" s="60">
        <f>'Manual Data'!H9</f>
        <v>-1424</v>
      </c>
      <c r="I70" s="60">
        <f>'Manual Data'!I9</f>
        <v>-6344</v>
      </c>
      <c r="J70" s="60">
        <f>'Manual Data'!J9</f>
        <v>-5082</v>
      </c>
      <c r="K70" s="60">
        <f>'Manual Data'!K9</f>
        <v>-295</v>
      </c>
      <c r="L70" s="60">
        <f>'Manual Data'!L9</f>
        <v>-2639</v>
      </c>
      <c r="M70" s="147">
        <f>SUM(M66:M69)</f>
        <v>-11869.627895516995</v>
      </c>
      <c r="N70" s="147">
        <f t="shared" ref="N70:Q70" si="54">SUM(N66:N69)</f>
        <v>-2913.204622920367</v>
      </c>
      <c r="O70" s="147">
        <f t="shared" si="54"/>
        <v>-1740.7754329260888</v>
      </c>
      <c r="P70" s="147">
        <f t="shared" si="54"/>
        <v>-3060.8583889014481</v>
      </c>
      <c r="Q70" s="147">
        <f t="shared" si="54"/>
        <v>-3424.6527192528847</v>
      </c>
    </row>
    <row r="71" spans="2:17" ht="14.65" thickBot="1" x14ac:dyDescent="0.5">
      <c r="B71" s="12" t="str">
        <f>'Manual Data'!B10</f>
        <v>Direct taxes</v>
      </c>
      <c r="C71" s="54">
        <f>'Manual Data'!C10</f>
        <v>-5653</v>
      </c>
      <c r="D71" s="54">
        <f>'Manual Data'!D10</f>
        <v>-6829</v>
      </c>
      <c r="E71" s="54">
        <f>'Manual Data'!E10</f>
        <v>-6832</v>
      </c>
      <c r="F71" s="54">
        <f>'Manual Data'!F10</f>
        <v>-4550</v>
      </c>
      <c r="G71" s="54">
        <f>'Manual Data'!G10</f>
        <v>-6389</v>
      </c>
      <c r="H71" s="54">
        <f>'Manual Data'!H10</f>
        <v>-7612</v>
      </c>
      <c r="I71" s="54">
        <f>'Manual Data'!I10</f>
        <v>-8794</v>
      </c>
      <c r="J71" s="54">
        <f>'Manual Data'!J10</f>
        <v>-9231</v>
      </c>
      <c r="K71" s="54">
        <f>'Manual Data'!K10</f>
        <v>-5602</v>
      </c>
      <c r="L71" s="54">
        <f>'Manual Data'!L10</f>
        <v>-8648</v>
      </c>
      <c r="M71" s="142">
        <f>-M22</f>
        <v>-13217.314403252916</v>
      </c>
      <c r="N71" s="142">
        <f t="shared" ref="N71:Q71" si="55">-N22</f>
        <v>-14361.073102107937</v>
      </c>
      <c r="O71" s="142">
        <f t="shared" si="55"/>
        <v>-16024.434304792543</v>
      </c>
      <c r="P71" s="142">
        <f t="shared" si="55"/>
        <v>-17699.554943801468</v>
      </c>
      <c r="Q71" s="142">
        <f t="shared" si="55"/>
        <v>-19725.455551116716</v>
      </c>
    </row>
    <row r="72" spans="2:17" x14ac:dyDescent="0.45">
      <c r="B72" s="31" t="str">
        <f>'Manual Data'!B11</f>
        <v>Cash-Flow from Operating Activity</v>
      </c>
      <c r="C72" s="50">
        <f>'Manual Data'!C11</f>
        <v>11531</v>
      </c>
      <c r="D72" s="50">
        <f>'Manual Data'!D11</f>
        <v>13218</v>
      </c>
      <c r="E72" s="50">
        <f>'Manual Data'!E11</f>
        <v>14841</v>
      </c>
      <c r="F72" s="50">
        <f>'Manual Data'!F11</f>
        <v>17003</v>
      </c>
      <c r="G72" s="50">
        <f>'Manual Data'!G11</f>
        <v>23224</v>
      </c>
      <c r="H72" s="50">
        <f>'Manual Data'!H11</f>
        <v>23885</v>
      </c>
      <c r="I72" s="50">
        <f>'Manual Data'!I11</f>
        <v>22467</v>
      </c>
      <c r="J72" s="50">
        <f>'Manual Data'!J11</f>
        <v>25210</v>
      </c>
      <c r="K72" s="50">
        <f>'Manual Data'!K11</f>
        <v>35694</v>
      </c>
      <c r="L72" s="50">
        <f>'Manual Data'!L11</f>
        <v>33986</v>
      </c>
      <c r="M72" s="138">
        <f>SUM(M65,M70,M71)</f>
        <v>24152.49760961008</v>
      </c>
      <c r="N72" s="138">
        <f t="shared" ref="N72:Q72" si="56">SUM(N65,N70,N71)</f>
        <v>36490.665009223347</v>
      </c>
      <c r="O72" s="138">
        <f t="shared" si="56"/>
        <v>41003.494551018543</v>
      </c>
      <c r="P72" s="138">
        <f t="shared" si="56"/>
        <v>44030.976594091786</v>
      </c>
      <c r="Q72" s="138">
        <f t="shared" si="56"/>
        <v>48289.426405089747</v>
      </c>
    </row>
    <row r="73" spans="2:17" x14ac:dyDescent="0.45"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143"/>
      <c r="N73" s="143"/>
      <c r="O73" s="143"/>
      <c r="P73" s="143"/>
      <c r="Q73" s="143"/>
    </row>
    <row r="74" spans="2:17" x14ac:dyDescent="0.45">
      <c r="B74" s="12" t="str">
        <f>'Manual Data'!B13</f>
        <v>Cash from Investing Activity </v>
      </c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143"/>
      <c r="N74" s="143"/>
      <c r="O74" s="143"/>
      <c r="P74" s="143"/>
      <c r="Q74" s="143"/>
    </row>
    <row r="75" spans="2:17" x14ac:dyDescent="0.45">
      <c r="B75" s="12" t="str">
        <f>'Manual Data'!B14</f>
        <v>Fixed assets purchased</v>
      </c>
      <c r="C75" s="54">
        <f>'Manual Data'!C14</f>
        <v>-2760</v>
      </c>
      <c r="D75" s="54">
        <f>'Manual Data'!D14</f>
        <v>-1998</v>
      </c>
      <c r="E75" s="54">
        <f>'Manual Data'!E14</f>
        <v>-2445</v>
      </c>
      <c r="F75" s="54">
        <f>'Manual Data'!F14</f>
        <v>-3307</v>
      </c>
      <c r="G75" s="54">
        <f>'Manual Data'!G14</f>
        <v>-2107</v>
      </c>
      <c r="H75" s="54">
        <f>'Manual Data'!H14</f>
        <v>-2161</v>
      </c>
      <c r="I75" s="54">
        <f>'Manual Data'!I14</f>
        <v>-2579</v>
      </c>
      <c r="J75" s="54">
        <f>'Manual Data'!J14</f>
        <v>-2201</v>
      </c>
      <c r="K75" s="54">
        <f>'Manual Data'!K14</f>
        <v>-2237</v>
      </c>
      <c r="L75" s="54">
        <f>'Manual Data'!L14</f>
        <v>-2727</v>
      </c>
      <c r="M75" s="142">
        <f>-Calculation!S6</f>
        <v>-4606.0312071488288</v>
      </c>
      <c r="N75" s="142">
        <f>-Calculation!T6</f>
        <v>-4704.3110259416671</v>
      </c>
      <c r="O75" s="142">
        <f>-Calculation!U6</f>
        <v>-5020.6412971695572</v>
      </c>
      <c r="P75" s="142">
        <f>-Calculation!V6</f>
        <v>-5303.1497171871333</v>
      </c>
      <c r="Q75" s="142">
        <f>-Calculation!W6</f>
        <v>-5369.4901552238571</v>
      </c>
    </row>
    <row r="76" spans="2:17" x14ac:dyDescent="0.45">
      <c r="B76" s="12" t="str">
        <f>'Manual Data'!B15</f>
        <v>Investments purchased</v>
      </c>
      <c r="C76" s="54">
        <f>'Manual Data'!C15</f>
        <v>-66410</v>
      </c>
      <c r="D76" s="54">
        <f>'Manual Data'!D15</f>
        <v>-69159</v>
      </c>
      <c r="E76" s="54">
        <f>'Manual Data'!E15</f>
        <v>-79410</v>
      </c>
      <c r="F76" s="54">
        <f>'Manual Data'!F15</f>
        <v>-37482</v>
      </c>
      <c r="G76" s="54">
        <f>'Manual Data'!G15</f>
        <v>-46738</v>
      </c>
      <c r="H76" s="54">
        <f>'Manual Data'!H15</f>
        <v>-59951</v>
      </c>
      <c r="I76" s="54">
        <f>'Manual Data'!I15</f>
        <v>-75800</v>
      </c>
      <c r="J76" s="54">
        <f>'Manual Data'!J15</f>
        <v>-78092</v>
      </c>
      <c r="K76" s="54">
        <f>'Manual Data'!K15</f>
        <v>-82742</v>
      </c>
      <c r="L76" s="54">
        <f>'Manual Data'!L15</f>
        <v>-82617</v>
      </c>
      <c r="M76" s="142">
        <f>IF(M50&gt;L50,-ABS(M50-L50),ABS(M50-L50))</f>
        <v>-7882.3783123691246</v>
      </c>
      <c r="N76" s="142">
        <f t="shared" ref="N76:Q76" si="57">IF(N50&gt;M50,-ABS(N50-M50),ABS(N50-M50))</f>
        <v>-1080.9457051591089</v>
      </c>
      <c r="O76" s="142">
        <f t="shared" si="57"/>
        <v>-2390.3547656124356</v>
      </c>
      <c r="P76" s="142">
        <f t="shared" si="57"/>
        <v>-3431.2597835904089</v>
      </c>
      <c r="Q76" s="142">
        <f t="shared" si="57"/>
        <v>-4930.8673587776575</v>
      </c>
    </row>
    <row r="77" spans="2:17" x14ac:dyDescent="0.45">
      <c r="B77" s="12" t="str">
        <f>'Manual Data'!B16</f>
        <v>Investments sold</v>
      </c>
      <c r="C77" s="54">
        <f>'Manual Data'!C16</f>
        <v>52048</v>
      </c>
      <c r="D77" s="54">
        <f>'Manual Data'!D16</f>
        <v>74003</v>
      </c>
      <c r="E77" s="54">
        <f>'Manual Data'!E16</f>
        <v>78098</v>
      </c>
      <c r="F77" s="54">
        <f>'Manual Data'!F16</f>
        <v>38861</v>
      </c>
      <c r="G77" s="54">
        <f>'Manual Data'!G16</f>
        <v>40381</v>
      </c>
      <c r="H77" s="54">
        <f>'Manual Data'!H16</f>
        <v>57356</v>
      </c>
      <c r="I77" s="54">
        <f>'Manual Data'!I16</f>
        <v>76722</v>
      </c>
      <c r="J77" s="54">
        <f>'Manual Data'!J16</f>
        <v>72930</v>
      </c>
      <c r="K77" s="54">
        <f>'Manual Data'!K16</f>
        <v>84877</v>
      </c>
      <c r="L77" s="54">
        <f>'Manual Data'!L16</f>
        <v>89699</v>
      </c>
      <c r="M77" s="142" t="s">
        <v>118</v>
      </c>
      <c r="N77" s="142">
        <v>0</v>
      </c>
      <c r="O77" s="142">
        <v>0</v>
      </c>
      <c r="P77" s="142">
        <v>0</v>
      </c>
      <c r="Q77" s="142">
        <v>0</v>
      </c>
    </row>
    <row r="78" spans="2:17" x14ac:dyDescent="0.45">
      <c r="B78" s="12" t="str">
        <f>'Manual Data'!B17</f>
        <v>Interest received</v>
      </c>
      <c r="C78" s="54">
        <f>'Manual Data'!C17</f>
        <v>0</v>
      </c>
      <c r="D78" s="54">
        <f>'Manual Data'!D17</f>
        <v>0</v>
      </c>
      <c r="E78" s="54">
        <f>'Manual Data'!E17</f>
        <v>0</v>
      </c>
      <c r="F78" s="54">
        <f>'Manual Data'!F17</f>
        <v>0</v>
      </c>
      <c r="G78" s="54">
        <f>'Manual Data'!G17</f>
        <v>0</v>
      </c>
      <c r="H78" s="54">
        <f>'Manual Data'!H17</f>
        <v>0</v>
      </c>
      <c r="I78" s="54">
        <f>'Manual Data'!I17</f>
        <v>0</v>
      </c>
      <c r="J78" s="54">
        <f>'Manual Data'!J17</f>
        <v>0</v>
      </c>
      <c r="K78" s="54">
        <f>'Manual Data'!K17</f>
        <v>0</v>
      </c>
      <c r="L78" s="54">
        <f>'Manual Data'!L17</f>
        <v>0</v>
      </c>
      <c r="M78" s="142">
        <f>L78</f>
        <v>0</v>
      </c>
      <c r="N78" s="142">
        <f t="shared" ref="N78:Q78" si="58">M78</f>
        <v>0</v>
      </c>
      <c r="O78" s="142">
        <f t="shared" si="58"/>
        <v>0</v>
      </c>
      <c r="P78" s="142">
        <f t="shared" si="58"/>
        <v>0</v>
      </c>
      <c r="Q78" s="142">
        <f t="shared" si="58"/>
        <v>0</v>
      </c>
    </row>
    <row r="79" spans="2:17" x14ac:dyDescent="0.45">
      <c r="B79" s="12" t="str">
        <f>'Manual Data'!B18</f>
        <v>Dividends received</v>
      </c>
      <c r="C79" s="54">
        <f>'Manual Data'!C18</f>
        <v>2753</v>
      </c>
      <c r="D79" s="54">
        <f>'Manual Data'!D18</f>
        <v>1768</v>
      </c>
      <c r="E79" s="54">
        <f>'Manual Data'!E18</f>
        <v>1557</v>
      </c>
      <c r="F79" s="54">
        <f>'Manual Data'!F18</f>
        <v>1929</v>
      </c>
      <c r="G79" s="54">
        <f>'Manual Data'!G18</f>
        <v>1418</v>
      </c>
      <c r="H79" s="54">
        <f>'Manual Data'!H18</f>
        <v>1898</v>
      </c>
      <c r="I79" s="54">
        <f>'Manual Data'!I18</f>
        <v>1525</v>
      </c>
      <c r="J79" s="54">
        <f>'Manual Data'!J18</f>
        <v>1768</v>
      </c>
      <c r="K79" s="54">
        <f>'Manual Data'!K18</f>
        <v>2040</v>
      </c>
      <c r="L79" s="54">
        <f>'Manual Data'!L18</f>
        <v>2713</v>
      </c>
      <c r="M79" s="142">
        <f>M18</f>
        <v>5625.8376615639427</v>
      </c>
      <c r="N79" s="142">
        <f t="shared" ref="N79:Q79" si="59">N18</f>
        <v>5847.3416609356409</v>
      </c>
      <c r="O79" s="142">
        <f t="shared" si="59"/>
        <v>5961.0275103215345</v>
      </c>
      <c r="P79" s="142">
        <f t="shared" si="59"/>
        <v>6303.0967327938752</v>
      </c>
      <c r="Q79" s="142">
        <f t="shared" si="59"/>
        <v>6740.2952273789788</v>
      </c>
    </row>
    <row r="80" spans="2:17" x14ac:dyDescent="0.45">
      <c r="B80" s="12" t="str">
        <f>'Manual Data'!B19</f>
        <v>Acquisition of companies</v>
      </c>
      <c r="C80" s="54">
        <f>'Manual Data'!C19</f>
        <v>0</v>
      </c>
      <c r="D80" s="54">
        <f>'Manual Data'!D19</f>
        <v>0</v>
      </c>
      <c r="E80" s="54">
        <f>'Manual Data'!E19</f>
        <v>0</v>
      </c>
      <c r="F80" s="54">
        <f>'Manual Data'!F19</f>
        <v>0</v>
      </c>
      <c r="G80" s="54">
        <f>'Manual Data'!G19</f>
        <v>0</v>
      </c>
      <c r="H80" s="54">
        <f>'Manual Data'!H19</f>
        <v>0</v>
      </c>
      <c r="I80" s="54">
        <f>'Manual Data'!I19</f>
        <v>0</v>
      </c>
      <c r="J80" s="54">
        <f>'Manual Data'!J19</f>
        <v>0</v>
      </c>
      <c r="K80" s="54">
        <f>'Manual Data'!K19</f>
        <v>0</v>
      </c>
      <c r="L80" s="54">
        <f>'Manual Data'!L19</f>
        <v>0</v>
      </c>
      <c r="M80" s="142">
        <f>L80</f>
        <v>0</v>
      </c>
      <c r="N80" s="142">
        <f t="shared" ref="N80:Q80" si="60">M80</f>
        <v>0</v>
      </c>
      <c r="O80" s="142">
        <f t="shared" si="60"/>
        <v>0</v>
      </c>
      <c r="P80" s="142">
        <f t="shared" si="60"/>
        <v>0</v>
      </c>
      <c r="Q80" s="142">
        <f t="shared" si="60"/>
        <v>0</v>
      </c>
    </row>
    <row r="81" spans="1:20" x14ac:dyDescent="0.45">
      <c r="B81" s="12" t="str">
        <f>'Manual Data'!B20</f>
        <v>Inter corporate deposits</v>
      </c>
      <c r="C81" s="54">
        <f>'Manual Data'!C20</f>
        <v>-164</v>
      </c>
      <c r="D81" s="54">
        <f>'Manual Data'!D20</f>
        <v>-130</v>
      </c>
      <c r="E81" s="54">
        <f>'Manual Data'!E20</f>
        <v>-24</v>
      </c>
      <c r="F81" s="54">
        <f>'Manual Data'!F20</f>
        <v>-108</v>
      </c>
      <c r="G81" s="54">
        <f>'Manual Data'!G20</f>
        <v>0</v>
      </c>
      <c r="H81" s="54">
        <f>'Manual Data'!H20</f>
        <v>0</v>
      </c>
      <c r="I81" s="54">
        <f>'Manual Data'!I20</f>
        <v>0</v>
      </c>
      <c r="J81" s="54">
        <f>'Manual Data'!J20</f>
        <v>0</v>
      </c>
      <c r="K81" s="54">
        <f>'Manual Data'!K20</f>
        <v>0</v>
      </c>
      <c r="L81" s="54">
        <f>'Manual Data'!L20</f>
        <v>0</v>
      </c>
      <c r="M81" s="142">
        <f>L81</f>
        <v>0</v>
      </c>
      <c r="N81" s="142">
        <f t="shared" ref="N81:Q81" si="61">M81</f>
        <v>0</v>
      </c>
      <c r="O81" s="142">
        <f t="shared" si="61"/>
        <v>0</v>
      </c>
      <c r="P81" s="142">
        <f t="shared" si="61"/>
        <v>0</v>
      </c>
      <c r="Q81" s="142">
        <f t="shared" si="61"/>
        <v>0</v>
      </c>
    </row>
    <row r="82" spans="1:20" ht="14.65" thickBot="1" x14ac:dyDescent="0.5">
      <c r="B82" s="12" t="str">
        <f>'Manual Data'!B21</f>
        <v>Other investing items</v>
      </c>
      <c r="C82" s="54">
        <f>'Manual Data'!C21</f>
        <v>-131</v>
      </c>
      <c r="D82" s="54">
        <f>'Manual Data'!D21</f>
        <v>49</v>
      </c>
      <c r="E82" s="54">
        <f>'Manual Data'!E21</f>
        <v>1592</v>
      </c>
      <c r="F82" s="54">
        <f>'Manual Data'!F21</f>
        <v>-224</v>
      </c>
      <c r="G82" s="54">
        <f>'Manual Data'!G21</f>
        <v>-327</v>
      </c>
      <c r="H82" s="54">
        <f>'Manual Data'!H21</f>
        <v>-3627</v>
      </c>
      <c r="I82" s="54">
        <f>'Manual Data'!I21</f>
        <v>-939</v>
      </c>
      <c r="J82" s="54">
        <f>'Manual Data'!J21</f>
        <v>502</v>
      </c>
      <c r="K82" s="54">
        <f>'Manual Data'!K21</f>
        <v>-3802</v>
      </c>
      <c r="L82" s="54">
        <f>'Manual Data'!L21</f>
        <v>-3522</v>
      </c>
      <c r="M82" s="142">
        <f>IF(M49&gt;L49,-ABS(M49-L49),ABS(M49-L49))</f>
        <v>-1046.2949823394167</v>
      </c>
      <c r="N82" s="142">
        <f t="shared" ref="N82:Q82" si="62">IF(N49&gt;M49,-ABS(N49-M49),ABS(N49-M49))</f>
        <v>169.33562715527455</v>
      </c>
      <c r="O82" s="142">
        <f t="shared" si="62"/>
        <v>279.41062348366177</v>
      </c>
      <c r="P82" s="142">
        <f t="shared" si="62"/>
        <v>173.56113495151067</v>
      </c>
      <c r="Q82" s="142">
        <f t="shared" si="62"/>
        <v>31.719116061969316</v>
      </c>
      <c r="T82" s="9" t="s">
        <v>118</v>
      </c>
    </row>
    <row r="83" spans="1:20" x14ac:dyDescent="0.45">
      <c r="B83" s="31" t="str">
        <f>'Manual Data'!B22</f>
        <v>Cash-Flow from Investing Activity</v>
      </c>
      <c r="C83" s="50">
        <f>'Manual Data'!C22</f>
        <v>-14664</v>
      </c>
      <c r="D83" s="50">
        <f>'Manual Data'!D22</f>
        <v>4533</v>
      </c>
      <c r="E83" s="50">
        <f>'Manual Data'!E22</f>
        <v>-632</v>
      </c>
      <c r="F83" s="50">
        <f>'Manual Data'!F22</f>
        <v>-331</v>
      </c>
      <c r="G83" s="50">
        <f>'Manual Data'!G22</f>
        <v>-7373</v>
      </c>
      <c r="H83" s="50">
        <f>'Manual Data'!H22</f>
        <v>-6485</v>
      </c>
      <c r="I83" s="50">
        <f>'Manual Data'!I22</f>
        <v>-1071</v>
      </c>
      <c r="J83" s="50">
        <f>'Manual Data'!J22</f>
        <v>-5093</v>
      </c>
      <c r="K83" s="50">
        <f>'Manual Data'!K22</f>
        <v>-1864</v>
      </c>
      <c r="L83" s="50">
        <f>'Manual Data'!L22</f>
        <v>3546</v>
      </c>
      <c r="M83" s="138">
        <f>SUM(M75:M82)</f>
        <v>-7908.8668402934281</v>
      </c>
      <c r="N83" s="138">
        <f t="shared" ref="N83:Q83" si="63">SUM(N75:N82)</f>
        <v>231.4205569901394</v>
      </c>
      <c r="O83" s="138">
        <f t="shared" si="63"/>
        <v>-1170.5579289767966</v>
      </c>
      <c r="P83" s="138">
        <f t="shared" si="63"/>
        <v>-2257.7516330321573</v>
      </c>
      <c r="Q83" s="138">
        <f t="shared" si="63"/>
        <v>-3528.3431705605663</v>
      </c>
    </row>
    <row r="84" spans="1:20" x14ac:dyDescent="0.45"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143"/>
      <c r="N84" s="143"/>
      <c r="O84" s="143"/>
      <c r="P84" s="143"/>
      <c r="Q84" s="143"/>
    </row>
    <row r="85" spans="1:20" x14ac:dyDescent="0.45">
      <c r="B85" s="12" t="str">
        <f>'Manual Data'!B24</f>
        <v>Cash from Financing Activity </v>
      </c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143"/>
      <c r="N85" s="143"/>
      <c r="O85" s="143"/>
      <c r="P85" s="143"/>
      <c r="Q85" s="143"/>
    </row>
    <row r="86" spans="1:20" x14ac:dyDescent="0.45">
      <c r="B86" s="12" t="str">
        <f>'Manual Data'!B25</f>
        <v>Proceeds from shares</v>
      </c>
      <c r="C86" s="54">
        <f>'Manual Data'!C25</f>
        <v>0</v>
      </c>
      <c r="D86" s="54">
        <f>'Manual Data'!D25</f>
        <v>5</v>
      </c>
      <c r="E86" s="54">
        <f>'Manual Data'!E25</f>
        <v>6</v>
      </c>
      <c r="F86" s="54">
        <f>'Manual Data'!F25</f>
        <v>6</v>
      </c>
      <c r="G86" s="54">
        <f>'Manual Data'!G25</f>
        <v>15</v>
      </c>
      <c r="H86" s="54">
        <f>'Manual Data'!H25</f>
        <v>21</v>
      </c>
      <c r="I86" s="54">
        <f>'Manual Data'!I25</f>
        <v>35</v>
      </c>
      <c r="J86" s="54">
        <f>'Manual Data'!J25</f>
        <v>5</v>
      </c>
      <c r="K86" s="54">
        <f>'Manual Data'!K25</f>
        <v>6</v>
      </c>
      <c r="L86" s="54">
        <f>'Manual Data'!L25</f>
        <v>2</v>
      </c>
      <c r="M86" s="142">
        <v>0</v>
      </c>
      <c r="N86" s="142">
        <v>0</v>
      </c>
      <c r="O86" s="142">
        <v>0</v>
      </c>
      <c r="P86" s="142">
        <v>0</v>
      </c>
      <c r="Q86" s="142">
        <v>0</v>
      </c>
    </row>
    <row r="87" spans="1:20" x14ac:dyDescent="0.45">
      <c r="B87" s="12" t="str">
        <f>'Manual Data'!B26</f>
        <v>Repayment of borrowings</v>
      </c>
      <c r="C87" s="54">
        <f>'Manual Data'!C26</f>
        <v>0</v>
      </c>
      <c r="D87" s="54">
        <f>'Manual Data'!D26</f>
        <v>0</v>
      </c>
      <c r="E87" s="54">
        <f>'Manual Data'!E26</f>
        <v>0</v>
      </c>
      <c r="F87" s="54">
        <f>'Manual Data'!F26</f>
        <v>0</v>
      </c>
      <c r="G87" s="54">
        <f>'Manual Data'!G26</f>
        <v>0</v>
      </c>
      <c r="H87" s="54">
        <f>'Manual Data'!H26</f>
        <v>0</v>
      </c>
      <c r="I87" s="54">
        <f>'Manual Data'!I26</f>
        <v>0</v>
      </c>
      <c r="J87" s="54">
        <f>'Manual Data'!J26</f>
        <v>0</v>
      </c>
      <c r="K87" s="54">
        <f>'Manual Data'!K26</f>
        <v>-985</v>
      </c>
      <c r="L87" s="54">
        <f>'Manual Data'!L26</f>
        <v>0</v>
      </c>
      <c r="M87" s="142">
        <f>L87</f>
        <v>0</v>
      </c>
      <c r="N87" s="142">
        <f t="shared" ref="N87:Q87" si="64">M87</f>
        <v>0</v>
      </c>
      <c r="O87" s="142">
        <f t="shared" si="64"/>
        <v>0</v>
      </c>
      <c r="P87" s="142">
        <f t="shared" si="64"/>
        <v>0</v>
      </c>
      <c r="Q87" s="142">
        <f t="shared" si="64"/>
        <v>0</v>
      </c>
    </row>
    <row r="88" spans="1:20" x14ac:dyDescent="0.45">
      <c r="B88" s="12" t="str">
        <f>'Manual Data'!B27</f>
        <v>Dividends paid</v>
      </c>
      <c r="C88" s="54">
        <f>'Manual Data'!C27</f>
        <v>-6939</v>
      </c>
      <c r="D88" s="54">
        <f>'Manual Data'!D27</f>
        <v>-7464</v>
      </c>
      <c r="E88" s="54">
        <f>'Manual Data'!E27</f>
        <v>-13705</v>
      </c>
      <c r="F88" s="54">
        <f>'Manual Data'!F27</f>
        <v>-9548</v>
      </c>
      <c r="G88" s="54">
        <f>'Manual Data'!G27</f>
        <v>-9137</v>
      </c>
      <c r="H88" s="54">
        <f>'Manual Data'!H27</f>
        <v>-12731</v>
      </c>
      <c r="I88" s="54">
        <f>'Manual Data'!I27</f>
        <v>-13653</v>
      </c>
      <c r="J88" s="54">
        <f>'Manual Data'!J27</f>
        <v>-14731</v>
      </c>
      <c r="K88" s="54">
        <f>'Manual Data'!K27</f>
        <v>-20289</v>
      </c>
      <c r="L88" s="54">
        <f>'Manual Data'!L27</f>
        <v>-18656</v>
      </c>
      <c r="M88" s="142">
        <f>-Calculation!M45</f>
        <v>-22075.249766063516</v>
      </c>
      <c r="N88" s="142">
        <f>-Calculation!N45</f>
        <v>-24660.004060797037</v>
      </c>
      <c r="O88" s="142">
        <f>-Calculation!O45</f>
        <v>-27412.688567955076</v>
      </c>
      <c r="P88" s="142">
        <f>-Calculation!P45</f>
        <v>-28994.500070339385</v>
      </c>
      <c r="Q88" s="142">
        <f>-Calculation!Q45</f>
        <v>-32057.894376108216</v>
      </c>
    </row>
    <row r="89" spans="1:20" x14ac:dyDescent="0.45">
      <c r="B89" s="12" t="str">
        <f>'Manual Data'!B28</f>
        <v>Financial liabilities</v>
      </c>
      <c r="C89" s="54">
        <f>'Manual Data'!C28</f>
        <v>0</v>
      </c>
      <c r="D89" s="54">
        <f>'Manual Data'!D28</f>
        <v>0</v>
      </c>
      <c r="E89" s="54">
        <f>'Manual Data'!E28</f>
        <v>0</v>
      </c>
      <c r="F89" s="54">
        <f>'Manual Data'!F28</f>
        <v>-571</v>
      </c>
      <c r="G89" s="54">
        <f>'Manual Data'!G28</f>
        <v>-698</v>
      </c>
      <c r="H89" s="54">
        <f>'Manual Data'!H28</f>
        <v>-915</v>
      </c>
      <c r="I89" s="54">
        <f>'Manual Data'!I28</f>
        <v>-1231</v>
      </c>
      <c r="J89" s="54">
        <f>'Manual Data'!J28</f>
        <v>-2024</v>
      </c>
      <c r="K89" s="54">
        <f>'Manual Data'!K28</f>
        <v>-2355</v>
      </c>
      <c r="L89" s="54">
        <f>'Manual Data'!L28</f>
        <v>-2824</v>
      </c>
      <c r="M89" s="142">
        <v>0</v>
      </c>
      <c r="N89" s="142">
        <v>0</v>
      </c>
      <c r="O89" s="142">
        <v>0</v>
      </c>
      <c r="P89" s="142">
        <v>0</v>
      </c>
      <c r="Q89" s="142">
        <v>0</v>
      </c>
    </row>
    <row r="90" spans="1:20" ht="14.65" thickBot="1" x14ac:dyDescent="0.5">
      <c r="B90" s="12" t="str">
        <f>'Manual Data'!B29</f>
        <v>Other financing items</v>
      </c>
      <c r="C90" s="54">
        <f>'Manual Data'!C29</f>
        <v>0</v>
      </c>
      <c r="D90" s="54">
        <f>'Manual Data'!D29</f>
        <v>-13046</v>
      </c>
      <c r="E90" s="54">
        <f>'Manual Data'!E29</f>
        <v>-813</v>
      </c>
      <c r="F90" s="54">
        <f>'Manual Data'!F29</f>
        <v>-7478</v>
      </c>
      <c r="G90" s="54">
        <f>'Manual Data'!G29</f>
        <v>34</v>
      </c>
      <c r="H90" s="54">
        <f>'Manual Data'!H29</f>
        <v>-11017</v>
      </c>
      <c r="I90" s="54">
        <f>'Manual Data'!I29</f>
        <v>-11846</v>
      </c>
      <c r="J90" s="54">
        <f>'Manual Data'!J29</f>
        <v>-754</v>
      </c>
      <c r="K90" s="54">
        <f>'Manual Data'!K29</f>
        <v>-538</v>
      </c>
      <c r="L90" s="54">
        <f>'Manual Data'!L29</f>
        <v>-18308</v>
      </c>
      <c r="M90" s="142">
        <v>0</v>
      </c>
      <c r="N90" s="142">
        <v>0</v>
      </c>
      <c r="O90" s="142">
        <v>0</v>
      </c>
      <c r="P90" s="142">
        <v>0</v>
      </c>
      <c r="Q90" s="142">
        <v>0</v>
      </c>
    </row>
    <row r="91" spans="1:20" x14ac:dyDescent="0.45">
      <c r="B91" s="31" t="str">
        <f>'Manual Data'!B30</f>
        <v>Cash-Flow from Financing Activity</v>
      </c>
      <c r="C91" s="50">
        <f>'Manual Data'!C30</f>
        <v>-6939</v>
      </c>
      <c r="D91" s="50">
        <f>'Manual Data'!D30</f>
        <v>-20505</v>
      </c>
      <c r="E91" s="50">
        <f>'Manual Data'!E30</f>
        <v>-14512</v>
      </c>
      <c r="F91" s="50">
        <f>'Manual Data'!F30</f>
        <v>-17591</v>
      </c>
      <c r="G91" s="50">
        <f>'Manual Data'!G30</f>
        <v>-9786</v>
      </c>
      <c r="H91" s="50">
        <f>'Manual Data'!H30</f>
        <v>-24642</v>
      </c>
      <c r="I91" s="50">
        <f>'Manual Data'!I30</f>
        <v>-26695</v>
      </c>
      <c r="J91" s="50">
        <f>'Manual Data'!J30</f>
        <v>-17504</v>
      </c>
      <c r="K91" s="50">
        <f>'Manual Data'!K30</f>
        <v>-24161</v>
      </c>
      <c r="L91" s="50">
        <f>'Manual Data'!L30</f>
        <v>-39786</v>
      </c>
      <c r="M91" s="138">
        <f>SUM(M86:M90)</f>
        <v>-22075.249766063516</v>
      </c>
      <c r="N91" s="138">
        <f t="shared" ref="N91:Q91" si="65">SUM(N86:N90)</f>
        <v>-24660.004060797037</v>
      </c>
      <c r="O91" s="138">
        <f t="shared" si="65"/>
        <v>-27412.688567955076</v>
      </c>
      <c r="P91" s="138">
        <f t="shared" si="65"/>
        <v>-28994.500070339385</v>
      </c>
      <c r="Q91" s="138">
        <f t="shared" si="65"/>
        <v>-32057.894376108216</v>
      </c>
    </row>
    <row r="92" spans="1:20" x14ac:dyDescent="0.45"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144"/>
      <c r="N92" s="144"/>
      <c r="O92" s="144"/>
      <c r="P92" s="144"/>
      <c r="Q92" s="144"/>
    </row>
    <row r="93" spans="1:20" ht="14.65" thickBot="1" x14ac:dyDescent="0.5">
      <c r="B93" s="12" t="s">
        <v>116</v>
      </c>
      <c r="C93" s="60">
        <v>32697</v>
      </c>
      <c r="D93" s="60">
        <f>C95</f>
        <v>22625</v>
      </c>
      <c r="E93" s="60">
        <f t="shared" ref="E93:Q93" si="66">D95</f>
        <v>19871</v>
      </c>
      <c r="F93" s="60">
        <f t="shared" si="66"/>
        <v>19568</v>
      </c>
      <c r="G93" s="60">
        <f t="shared" si="66"/>
        <v>18649</v>
      </c>
      <c r="H93" s="60">
        <f t="shared" si="66"/>
        <v>24714</v>
      </c>
      <c r="I93" s="60">
        <f t="shared" si="66"/>
        <v>17472</v>
      </c>
      <c r="J93" s="60">
        <f t="shared" si="66"/>
        <v>12173</v>
      </c>
      <c r="K93" s="60">
        <f t="shared" si="66"/>
        <v>14786</v>
      </c>
      <c r="L93" s="60">
        <f t="shared" si="66"/>
        <v>24455</v>
      </c>
      <c r="M93" s="147">
        <f t="shared" si="66"/>
        <v>22201</v>
      </c>
      <c r="N93" s="147">
        <f t="shared" si="66"/>
        <v>16369.381003253136</v>
      </c>
      <c r="O93" s="147">
        <f t="shared" si="66"/>
        <v>28431.462508669585</v>
      </c>
      <c r="P93" s="147">
        <f t="shared" si="66"/>
        <v>40851.710562756256</v>
      </c>
      <c r="Q93" s="147">
        <f t="shared" si="66"/>
        <v>53630.435453476501</v>
      </c>
    </row>
    <row r="94" spans="1:20" ht="14.65" thickBot="1" x14ac:dyDescent="0.5">
      <c r="B94" s="35" t="str">
        <f>'Manual Data'!B32</f>
        <v>Net Cash Flow</v>
      </c>
      <c r="C94" s="56">
        <f>'Manual Data'!C32</f>
        <v>-10072</v>
      </c>
      <c r="D94" s="56">
        <f>'Manual Data'!D32</f>
        <v>-2754</v>
      </c>
      <c r="E94" s="56">
        <f>'Manual Data'!E32</f>
        <v>-303</v>
      </c>
      <c r="F94" s="56">
        <f>'Manual Data'!F32</f>
        <v>-919</v>
      </c>
      <c r="G94" s="56">
        <f>'Manual Data'!G32</f>
        <v>6065</v>
      </c>
      <c r="H94" s="56">
        <f>'Manual Data'!H32</f>
        <v>-7242</v>
      </c>
      <c r="I94" s="56">
        <f>'Manual Data'!I32</f>
        <v>-5299</v>
      </c>
      <c r="J94" s="56">
        <f>'Manual Data'!J32</f>
        <v>2613</v>
      </c>
      <c r="K94" s="56">
        <f>'Manual Data'!K32</f>
        <v>9669</v>
      </c>
      <c r="L94" s="56">
        <f>'Manual Data'!L32</f>
        <v>-2254</v>
      </c>
      <c r="M94" s="146">
        <f>SUM(M91,M83,M72)</f>
        <v>-5831.6189967468636</v>
      </c>
      <c r="N94" s="146">
        <f t="shared" ref="N94:Q94" si="67">SUM(N91,N83,N72)</f>
        <v>12062.081505416449</v>
      </c>
      <c r="O94" s="146">
        <f t="shared" si="67"/>
        <v>12420.248054086671</v>
      </c>
      <c r="P94" s="146">
        <f t="shared" si="67"/>
        <v>12778.724890720245</v>
      </c>
      <c r="Q94" s="146">
        <f t="shared" si="67"/>
        <v>12703.188858420966</v>
      </c>
    </row>
    <row r="95" spans="1:20" s="24" customFormat="1" x14ac:dyDescent="0.45">
      <c r="A95" s="12"/>
      <c r="B95" s="12" t="s">
        <v>117</v>
      </c>
      <c r="C95" s="52">
        <f>SUM(C93:C94)</f>
        <v>22625</v>
      </c>
      <c r="D95" s="52">
        <f t="shared" ref="D95:Q95" si="68">SUM(D93:D94)</f>
        <v>19871</v>
      </c>
      <c r="E95" s="52">
        <f t="shared" si="68"/>
        <v>19568</v>
      </c>
      <c r="F95" s="52">
        <f t="shared" si="68"/>
        <v>18649</v>
      </c>
      <c r="G95" s="52">
        <f t="shared" si="68"/>
        <v>24714</v>
      </c>
      <c r="H95" s="52">
        <f t="shared" si="68"/>
        <v>17472</v>
      </c>
      <c r="I95" s="52">
        <f t="shared" si="68"/>
        <v>12173</v>
      </c>
      <c r="J95" s="52">
        <f t="shared" si="68"/>
        <v>14786</v>
      </c>
      <c r="K95" s="52">
        <f t="shared" si="68"/>
        <v>24455</v>
      </c>
      <c r="L95" s="52">
        <f t="shared" si="68"/>
        <v>22201</v>
      </c>
      <c r="M95" s="144">
        <f t="shared" si="68"/>
        <v>16369.381003253136</v>
      </c>
      <c r="N95" s="144">
        <f t="shared" si="68"/>
        <v>28431.462508669585</v>
      </c>
      <c r="O95" s="144">
        <f t="shared" si="68"/>
        <v>40851.710562756256</v>
      </c>
      <c r="P95" s="144">
        <f t="shared" si="68"/>
        <v>53630.435453476501</v>
      </c>
      <c r="Q95" s="144">
        <f t="shared" si="68"/>
        <v>66333.624311897467</v>
      </c>
    </row>
  </sheetData>
  <mergeCells count="3">
    <mergeCell ref="B1:Q1"/>
    <mergeCell ref="B27:Q27"/>
    <mergeCell ref="B63:Q63"/>
  </mergeCells>
  <pageMargins left="0.7" right="0.7" top="0.75" bottom="0.75" header="0.3" footer="0.3"/>
  <pageSetup paperSize="9" orientation="portrait" r:id="rId1"/>
  <ignoredErrors>
    <ignoredError sqref="C4 D4:L4" formulaRange="1"/>
    <ignoredError sqref="M79:Q7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29A1-0F23-4F55-ADAC-54438E6BBC3E}">
  <dimension ref="A1:W45"/>
  <sheetViews>
    <sheetView showGridLines="0" zoomScaleNormal="100" workbookViewId="0">
      <selection activeCell="E13" sqref="E13"/>
    </sheetView>
  </sheetViews>
  <sheetFormatPr defaultRowHeight="14.25" x14ac:dyDescent="0.45"/>
  <cols>
    <col min="1" max="1" width="1.796875" customWidth="1"/>
    <col min="2" max="2" width="31.06640625" style="47" bestFit="1" customWidth="1"/>
    <col min="3" max="17" width="9.265625" style="15" bestFit="1" customWidth="1"/>
  </cols>
  <sheetData>
    <row r="1" spans="1:17" ht="15.75" x14ac:dyDescent="0.5">
      <c r="B1" s="261" t="str">
        <f>"Ratios Analysis for "&amp;'Data Sheet'!B1</f>
        <v>Ratios Analysis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1:17" x14ac:dyDescent="0.45">
      <c r="B2" s="116" t="str">
        <f>'Data Sheet'!A16</f>
        <v>Report Date</v>
      </c>
      <c r="C2" s="22">
        <f>'Data Sheet'!B16</f>
        <v>42825</v>
      </c>
      <c r="D2" s="22">
        <f>'Data Sheet'!C16</f>
        <v>43190</v>
      </c>
      <c r="E2" s="22">
        <f>'Data Sheet'!D16</f>
        <v>43555</v>
      </c>
      <c r="F2" s="22">
        <f>'Data Sheet'!E16</f>
        <v>43921</v>
      </c>
      <c r="G2" s="22">
        <f>'Data Sheet'!F16</f>
        <v>44286</v>
      </c>
      <c r="H2" s="22">
        <f>'Data Sheet'!G16</f>
        <v>44651</v>
      </c>
      <c r="I2" s="22">
        <f>'Data Sheet'!H16</f>
        <v>45016</v>
      </c>
      <c r="J2" s="22">
        <f>'Data Sheet'!I16</f>
        <v>45382</v>
      </c>
      <c r="K2" s="22">
        <f>'Data Sheet'!J16</f>
        <v>45747</v>
      </c>
      <c r="L2" s="22">
        <f>'Data Sheet'!K16</f>
        <v>46112</v>
      </c>
      <c r="M2" s="23">
        <f>L2+365</f>
        <v>46477</v>
      </c>
      <c r="N2" s="23">
        <f t="shared" ref="N2:Q2" si="0">M2+365</f>
        <v>46842</v>
      </c>
      <c r="O2" s="23">
        <f t="shared" si="0"/>
        <v>47207</v>
      </c>
      <c r="P2" s="23">
        <f t="shared" si="0"/>
        <v>47572</v>
      </c>
      <c r="Q2" s="23">
        <f t="shared" si="0"/>
        <v>47937</v>
      </c>
    </row>
    <row r="3" spans="1:17" x14ac:dyDescent="0.45">
      <c r="A3" s="12" t="s">
        <v>78</v>
      </c>
      <c r="B3" s="117" t="s">
        <v>136</v>
      </c>
      <c r="M3" s="128"/>
      <c r="N3" s="128"/>
      <c r="O3" s="128"/>
      <c r="P3" s="128"/>
      <c r="Q3" s="128"/>
    </row>
    <row r="4" spans="1:17" x14ac:dyDescent="0.45">
      <c r="B4" s="47" t="s">
        <v>85</v>
      </c>
      <c r="C4" s="118">
        <f>'Historical Financial Statement'!C6</f>
        <v>0.34862157584253256</v>
      </c>
      <c r="D4" s="118">
        <f>'Historical Financial Statement'!D6</f>
        <v>0.34212018944442868</v>
      </c>
      <c r="E4" s="118">
        <f>'Historical Financial Statement'!E6</f>
        <v>0.32934986392500754</v>
      </c>
      <c r="F4" s="118">
        <f>'Historical Financial Statement'!F6</f>
        <v>0.31479992510270843</v>
      </c>
      <c r="G4" s="118">
        <f>'Historical Financial Statement'!G6</f>
        <v>0.31831754120550998</v>
      </c>
      <c r="H4" s="118">
        <f>'Historical Financial Statement'!H6</f>
        <v>0.30271043480405457</v>
      </c>
      <c r="I4" s="118">
        <f>'Historical Financial Statement'!I6</f>
        <v>0.28539794367943749</v>
      </c>
      <c r="J4" s="118">
        <f>'Historical Financial Statement'!J6</f>
        <v>0.28398516301164833</v>
      </c>
      <c r="K4" s="118">
        <f>'Historical Financial Statement'!K6</f>
        <v>0.2847107184489846</v>
      </c>
      <c r="L4" s="118">
        <f>'Historical Financial Statement'!L6</f>
        <v>0.28207668625804644</v>
      </c>
      <c r="M4" s="129">
        <f>'Historical Financial Statement'!M6</f>
        <v>0.30920900417223585</v>
      </c>
      <c r="N4" s="129">
        <f>'Historical Financial Statement'!N6</f>
        <v>0.30526774700520626</v>
      </c>
      <c r="O4" s="129">
        <f>'Historical Financial Statement'!O6</f>
        <v>0.30158250276128384</v>
      </c>
      <c r="P4" s="129">
        <f>'Historical Financial Statement'!P6</f>
        <v>0.2988057666449116</v>
      </c>
      <c r="Q4" s="129">
        <f>'Historical Financial Statement'!Q6</f>
        <v>0.29720635079913188</v>
      </c>
    </row>
    <row r="5" spans="1:17" x14ac:dyDescent="0.45">
      <c r="B5" s="47" t="s">
        <v>86</v>
      </c>
      <c r="C5" s="118">
        <f>'Historical Financial Statement'!C11</f>
        <v>0.27165469306699375</v>
      </c>
      <c r="D5" s="118">
        <f>'Historical Financial Statement'!D11</f>
        <v>0.26689543688494372</v>
      </c>
      <c r="E5" s="118">
        <f>'Historical Financial Statement'!E11</f>
        <v>0.24396734200181433</v>
      </c>
      <c r="F5" s="118">
        <f>'Historical Financial Statement'!F11</f>
        <v>0.24525558700752279</v>
      </c>
      <c r="G5" s="118">
        <f>'Historical Financial Statement'!G11</f>
        <v>0.27757982323433394</v>
      </c>
      <c r="H5" s="118">
        <f>'Historical Financial Statement'!H11</f>
        <v>0.25888475102966929</v>
      </c>
      <c r="I5" s="118">
        <f>'Historical Financial Statement'!I11</f>
        <v>0.23935898396778568</v>
      </c>
      <c r="J5" s="118">
        <f>'Historical Financial Statement'!J11</f>
        <v>0.23703390381987374</v>
      </c>
      <c r="K5" s="118">
        <f>'Historical Financial Statement'!K11</f>
        <v>0.24072642493404503</v>
      </c>
      <c r="L5" s="118">
        <f>'Historical Financial Statement'!L11</f>
        <v>0.23666386789812482</v>
      </c>
      <c r="M5" s="129">
        <f>'Historical Financial Statement'!M11</f>
        <v>0.25180208138451071</v>
      </c>
      <c r="N5" s="129">
        <f>'Historical Financial Statement'!N11</f>
        <v>0.24981682021626245</v>
      </c>
      <c r="O5" s="129">
        <f>'Historical Financial Statement'!O11</f>
        <v>0.24810895854939416</v>
      </c>
      <c r="P5" s="129">
        <f>'Historical Financial Statement'!P11</f>
        <v>0.24852312020415229</v>
      </c>
      <c r="Q5" s="129">
        <f>'Historical Financial Statement'!Q11</f>
        <v>0.24884987352381516</v>
      </c>
    </row>
    <row r="6" spans="1:17" x14ac:dyDescent="0.45">
      <c r="B6" s="47" t="s">
        <v>87</v>
      </c>
      <c r="C6" s="118">
        <f>'Historical Financial Statement'!C15</f>
        <v>0.24678757081946148</v>
      </c>
      <c r="D6" s="118">
        <f>'Historical Financial Statement'!D15</f>
        <v>0.24047814866282863</v>
      </c>
      <c r="E6" s="118">
        <f>'Historical Financial Statement'!E15</f>
        <v>0.2196431811309344</v>
      </c>
      <c r="F6" s="118">
        <f>'Historical Financial Statement'!F15</f>
        <v>0.21339119516251612</v>
      </c>
      <c r="G6" s="118">
        <f>'Historical Financial Statement'!G15</f>
        <v>0.24506330121824987</v>
      </c>
      <c r="H6" s="118">
        <f>'Historical Financial Statement'!H15</f>
        <v>0.23030885967724699</v>
      </c>
      <c r="I6" s="118">
        <f>'Historical Financial Statement'!I15</f>
        <v>0.21057185879659596</v>
      </c>
      <c r="J6" s="118">
        <f>'Historical Financial Statement'!J15</f>
        <v>0.20659204789483959</v>
      </c>
      <c r="K6" s="118">
        <f>'Historical Financial Statement'!K15</f>
        <v>0.21120314129701209</v>
      </c>
      <c r="L6" s="118">
        <f>'Historical Financial Statement'!L15</f>
        <v>0.20922474111390987</v>
      </c>
      <c r="M6" s="129">
        <f>'Historical Financial Statement'!M15</f>
        <v>0.22783981594605465</v>
      </c>
      <c r="N6" s="129">
        <f>'Historical Financial Statement'!N15</f>
        <v>0.22780469182559338</v>
      </c>
      <c r="O6" s="129">
        <f>'Historical Financial Statement'!O15</f>
        <v>0.228235070409151</v>
      </c>
      <c r="P6" s="129">
        <f>'Historical Financial Statement'!P15</f>
        <v>0.23016134598187618</v>
      </c>
      <c r="Q6" s="129">
        <f>'Historical Financial Statement'!Q15</f>
        <v>0.23170675671934252</v>
      </c>
    </row>
    <row r="7" spans="1:17" x14ac:dyDescent="0.45">
      <c r="B7" s="47" t="s">
        <v>89</v>
      </c>
      <c r="C7" s="118">
        <f>'Historical Financial Statement'!C24</f>
        <v>0.20958180012849717</v>
      </c>
      <c r="D7" s="118">
        <f>'Historical Financial Statement'!D24</f>
        <v>0.22729077451008195</v>
      </c>
      <c r="E7" s="118">
        <f>'Historical Financial Statement'!E24</f>
        <v>0.18639250075597219</v>
      </c>
      <c r="F7" s="118">
        <f>'Historical Financial Statement'!F24</f>
        <v>0.18326706391602693</v>
      </c>
      <c r="G7" s="118">
        <f>'Historical Financial Statement'!G24</f>
        <v>0.19331754120550998</v>
      </c>
      <c r="H7" s="118">
        <f>'Historical Financial Statement'!H24</f>
        <v>0.1820603250548746</v>
      </c>
      <c r="I7" s="118">
        <f>'Historical Financial Statement'!I24</f>
        <v>0.16426035825492105</v>
      </c>
      <c r="J7" s="118">
        <f>'Historical Financial Statement'!J24</f>
        <v>0.17080757467300059</v>
      </c>
      <c r="K7" s="118">
        <f>'Historical Financial Statement'!K24</f>
        <v>0.16412049819007302</v>
      </c>
      <c r="L7" s="118">
        <f>'Historical Financial Statement'!L24</f>
        <v>0.16498180800447804</v>
      </c>
      <c r="M7" s="129">
        <f>'Historical Financial Statement'!M24</f>
        <v>0.18784914684126658</v>
      </c>
      <c r="N7" s="129">
        <f>'Historical Financial Statement'!N24</f>
        <v>0.18708323761747836</v>
      </c>
      <c r="O7" s="129">
        <f>'Historical Financial Statement'!O24</f>
        <v>0.18460525154764354</v>
      </c>
      <c r="P7" s="129">
        <f>'Historical Financial Statement'!P24</f>
        <v>0.18531028490256291</v>
      </c>
      <c r="Q7" s="129">
        <f>'Historical Financial Statement'!Q24</f>
        <v>0.18544177090552241</v>
      </c>
    </row>
    <row r="8" spans="1:17" x14ac:dyDescent="0.45">
      <c r="B8" s="47" t="s">
        <v>133</v>
      </c>
      <c r="C8" s="123">
        <f>'Historical Financial Statement'!C23/SUM('Historical Financial Statement'!C29:C30)</f>
        <v>0.20806877156359629</v>
      </c>
      <c r="D8" s="123">
        <f>'Historical Financial Statement'!D23/SUM('Historical Financial Statement'!D29:D30)</f>
        <v>0.24689247262141306</v>
      </c>
      <c r="E8" s="123">
        <f>'Historical Financial Statement'!E23/SUM('Historical Financial Statement'!E29:E30)</f>
        <v>0.23726673646609595</v>
      </c>
      <c r="F8" s="123">
        <f>'Historical Financial Statement'!F23/SUM('Historical Financial Statement'!F29:F30)</f>
        <v>0.25422459893048127</v>
      </c>
      <c r="G8" s="123">
        <f>'Historical Financial Statement'!G23/SUM('Historical Financial Statement'!G29:G30)</f>
        <v>0.2543909051616875</v>
      </c>
      <c r="H8" s="123">
        <f>'Historical Financial Statement'!H23/SUM('Historical Financial Statement'!H29:H30)</f>
        <v>0.29390842733908429</v>
      </c>
      <c r="I8" s="123">
        <f>'Historical Financial Statement'!I23/SUM('Historical Financial Statement'!I29:I30)</f>
        <v>0.31970506716883046</v>
      </c>
      <c r="J8" s="123">
        <f>'Historical Financial Statement'!J23/SUM('Historical Financial Statement'!J29:J30)</f>
        <v>0.29788006718416632</v>
      </c>
      <c r="K8" s="123">
        <f>'Historical Financial Statement'!K23/SUM('Historical Financial Statement'!K29:K30)</f>
        <v>0.27917510279905655</v>
      </c>
      <c r="L8" s="123">
        <f>'Historical Financial Statement'!L23/SUM('Historical Financial Statement'!L29:L30)</f>
        <v>0.31742988842458969</v>
      </c>
      <c r="M8" s="130">
        <f>'Historical Financial Statement'!M23/SUM('Historical Financial Statement'!M29:M30)</f>
        <v>0.34291400922457571</v>
      </c>
      <c r="N8" s="130">
        <f>'Historical Financial Statement'!N23/SUM('Historical Financial Statement'!N29:N30)</f>
        <v>0.32772621284669551</v>
      </c>
      <c r="O8" s="130">
        <f>'Historical Financial Statement'!O23/SUM('Historical Financial Statement'!O29:O30)</f>
        <v>0.31385939039049293</v>
      </c>
      <c r="P8" s="130">
        <f>'Historical Financial Statement'!P23/SUM('Historical Financial Statement'!P29:P30)</f>
        <v>0.30422939342074501</v>
      </c>
      <c r="Q8" s="130">
        <f>'Historical Financial Statement'!Q23/SUM('Historical Financial Statement'!Q29:Q30)</f>
        <v>0.29540155670917129</v>
      </c>
    </row>
    <row r="9" spans="1:17" x14ac:dyDescent="0.45">
      <c r="B9" s="47" t="s">
        <v>134</v>
      </c>
      <c r="C9" s="123">
        <f>'Historical Financial Statement'!C23/'Historical Financial Statement'!C60</f>
        <v>0.17261990667243951</v>
      </c>
      <c r="D9" s="123">
        <f>'Historical Financial Statement'!D23/'Historical Financial Statement'!D60</f>
        <v>0.20200632648174521</v>
      </c>
      <c r="E9" s="123">
        <f>'Historical Financial Statement'!E23/'Historical Financial Statement'!E60</f>
        <v>0.18330835296076892</v>
      </c>
      <c r="F9" s="123">
        <f>'Historical Financial Statement'!F23/'Historical Financial Statement'!F60</f>
        <v>0.18125272331154685</v>
      </c>
      <c r="G9" s="123">
        <f>'Historical Financial Statement'!G23/'Historical Financial Statement'!G60</f>
        <v>0.18066058356819303</v>
      </c>
      <c r="H9" s="123">
        <f>'Historical Financial Statement'!H23/'Historical Financial Statement'!H60</f>
        <v>0.18972149166017013</v>
      </c>
      <c r="I9" s="123">
        <f>'Historical Financial Statement'!I23/'Historical Financial Statement'!I60</f>
        <v>0.19348935760377539</v>
      </c>
      <c r="J9" s="123">
        <f>'Historical Financial Statement'!J23/'Historical Financial Statement'!J60</f>
        <v>0.19297162182032054</v>
      </c>
      <c r="K9" s="123">
        <f>'Historical Financial Statement'!K23/'Historical Financial Statement'!K60</f>
        <v>0.18099394431476032</v>
      </c>
      <c r="L9" s="123">
        <f>'Historical Financial Statement'!L23/'Historical Financial Statement'!L60</f>
        <v>0.1910323550762211</v>
      </c>
      <c r="M9" s="130">
        <f>'Historical Financial Statement'!M23/'Historical Financial Statement'!M60</f>
        <v>0.22168253622654774</v>
      </c>
      <c r="N9" s="130">
        <f>'Historical Financial Statement'!N23/'Historical Financial Statement'!N60</f>
        <v>0.21482187520727206</v>
      </c>
      <c r="O9" s="130">
        <f>'Historical Financial Statement'!O23/'Historical Financial Statement'!O60</f>
        <v>0.20748789841911108</v>
      </c>
      <c r="P9" s="130">
        <f>'Historical Financial Statement'!P23/'Historical Financial Statement'!P60</f>
        <v>0.20356379703067379</v>
      </c>
      <c r="Q9" s="130">
        <f>'Historical Financial Statement'!Q23/'Historical Financial Statement'!Q60</f>
        <v>0.19972899157837753</v>
      </c>
    </row>
    <row r="10" spans="1:17" x14ac:dyDescent="0.45">
      <c r="B10" s="47" t="s">
        <v>163</v>
      </c>
      <c r="C10" s="123">
        <f>'Historical Financial Statement'!C14/SUM('Historical Financial Statement'!C29:C30,'Historical Financial Statement'!C34)</f>
        <v>0.24500594357948449</v>
      </c>
      <c r="D10" s="123">
        <f>'Historical Financial Statement'!D14/SUM('Historical Financial Statement'!D29:D30,'Historical Financial Statement'!D34)</f>
        <v>0.26121713414352388</v>
      </c>
      <c r="E10" s="123">
        <f>'Historical Financial Statement'!E14/SUM('Historical Financial Statement'!E29:E30,'Historical Financial Statement'!E34)</f>
        <v>0.27959290509330542</v>
      </c>
      <c r="F10" s="123">
        <f>'Historical Financial Statement'!F14/SUM('Historical Financial Statement'!F29:F30,'Historical Financial Statement'!F34)</f>
        <v>0.27644364539189248</v>
      </c>
      <c r="G10" s="123">
        <f>'Historical Financial Statement'!G14/SUM('Historical Financial Statement'!G29:G30,'Historical Financial Statement'!G34)</f>
        <v>0.30145942504530093</v>
      </c>
      <c r="H10" s="123">
        <f>'Historical Financial Statement'!H14/SUM('Historical Financial Statement'!H29:H30,'Historical Financial Statement'!H34)</f>
        <v>0.34661734138374739</v>
      </c>
      <c r="I10" s="123">
        <f>'Historical Financial Statement'!I14/SUM('Historical Financial Statement'!I29:I30,'Historical Financial Statement'!I34)</f>
        <v>0.36920889780899818</v>
      </c>
      <c r="J10" s="123">
        <f>'Historical Financial Statement'!J14/SUM('Historical Financial Statement'!J29:J30,'Historical Financial Statement'!J34)</f>
        <v>0.32906970717802542</v>
      </c>
      <c r="K10" s="123">
        <f>'Historical Financial Statement'!K14/SUM('Historical Financial Statement'!K29:K30,'Historical Financial Statement'!K34)</f>
        <v>0.33085684079004279</v>
      </c>
      <c r="L10" s="123">
        <f>'Historical Financial Statement'!L14/SUM('Historical Financial Statement'!L29:L30,'Historical Financial Statement'!L34)</f>
        <v>0.36635041361194964</v>
      </c>
      <c r="M10" s="130">
        <f>'Historical Financial Statement'!M14/SUM('Historical Financial Statement'!M29:M30,'Historical Financial Statement'!M34)</f>
        <v>0.38326584930518404</v>
      </c>
      <c r="N10" s="130">
        <f>'Historical Financial Statement'!N14/SUM('Historical Financial Statement'!N29:N30,'Historical Financial Statement'!N34)</f>
        <v>0.37146971403965268</v>
      </c>
      <c r="O10" s="130">
        <f>'Historical Financial Statement'!O14/SUM('Historical Financial Statement'!O29:O30,'Historical Financial Statement'!O34)</f>
        <v>0.36418451510052985</v>
      </c>
      <c r="P10" s="130">
        <f>'Historical Financial Statement'!P14/SUM('Historical Financial Statement'!P29:P30,'Historical Financial Statement'!P34)</f>
        <v>0.35732956851401915</v>
      </c>
      <c r="Q10" s="130">
        <f>'Historical Financial Statement'!Q14/SUM('Historical Financial Statement'!Q29:Q30,'Historical Financial Statement'!Q34)</f>
        <v>0.35130352772740742</v>
      </c>
    </row>
    <row r="11" spans="1:17" x14ac:dyDescent="0.45">
      <c r="B11" s="47" t="s">
        <v>558</v>
      </c>
      <c r="C11" s="123">
        <f>'Historical Financial Statement'!C23/SUM('Historical Financial Statement'!C31,'Historical Financial Statement'!C34)</f>
        <v>0.20806877156359629</v>
      </c>
      <c r="D11" s="123">
        <f>'Historical Financial Statement'!D23/SUM('Historical Financial Statement'!D31,'Historical Financial Statement'!D34)</f>
        <v>0.24689247262141306</v>
      </c>
      <c r="E11" s="123">
        <f>'Historical Financial Statement'!E23/SUM('Historical Financial Statement'!E31,'Historical Financial Statement'!E34)</f>
        <v>0.23726673646609595</v>
      </c>
      <c r="F11" s="123">
        <f>'Historical Financial Statement'!F23/SUM('Historical Financial Statement'!F31,'Historical Financial Statement'!F34)</f>
        <v>0.23741848950530087</v>
      </c>
      <c r="G11" s="123">
        <f>'Historical Financial Statement'!G23/SUM('Historical Financial Statement'!G31,'Historical Financial Statement'!G34)</f>
        <v>0.23780547529261961</v>
      </c>
      <c r="H11" s="123">
        <f>'Historical Financial Statement'!H23/SUM('Historical Financial Statement'!H31,'Historical Financial Statement'!H34)</f>
        <v>0.27400277145402357</v>
      </c>
      <c r="I11" s="123">
        <f>'Historical Financial Statement'!I23/SUM('Historical Financial Statement'!I31,'Historical Financial Statement'!I34)</f>
        <v>0.28800802809834419</v>
      </c>
      <c r="J11" s="123">
        <f>'Historical Financial Statement'!J23/SUM('Historical Financial Statement'!J31,'Historical Financial Statement'!J34)</f>
        <v>0.2720704845814978</v>
      </c>
      <c r="K11" s="123">
        <f>'Historical Financial Statement'!K23/SUM('Historical Financial Statement'!K31,'Historical Financial Statement'!K34)</f>
        <v>0.2571002931423903</v>
      </c>
      <c r="L11" s="123">
        <f>'Historical Financial Statement'!L23/SUM('Historical Financial Statement'!L31,'Historical Financial Statement'!L34)</f>
        <v>0.28888148351432941</v>
      </c>
      <c r="M11" s="130">
        <f>'Historical Financial Statement'!M23/SUM('Historical Financial Statement'!M31,'Historical Financial Statement'!M34)</f>
        <v>0.31599464960250279</v>
      </c>
      <c r="N11" s="130">
        <f>'Historical Financial Statement'!N23/SUM('Historical Financial Statement'!N31,'Historical Financial Statement'!N34)</f>
        <v>0.30506727593030802</v>
      </c>
      <c r="O11" s="130">
        <f>'Historical Financial Statement'!O23/SUM('Historical Financial Statement'!O31,'Historical Financial Statement'!O34)</f>
        <v>0.29456636046058909</v>
      </c>
      <c r="P11" s="130">
        <f>'Historical Financial Statement'!P23/SUM('Historical Financial Statement'!P31,'Historical Financial Statement'!P34)</f>
        <v>0.28769750134610761</v>
      </c>
      <c r="Q11" s="130">
        <f>'Historical Financial Statement'!Q23/SUM('Historical Financial Statement'!Q31,'Historical Financial Statement'!Q34)</f>
        <v>0.28115860421816269</v>
      </c>
    </row>
    <row r="12" spans="1:17" x14ac:dyDescent="0.45">
      <c r="M12" s="128"/>
      <c r="N12" s="128"/>
      <c r="O12" s="128"/>
      <c r="P12" s="128"/>
      <c r="Q12" s="128"/>
    </row>
    <row r="13" spans="1:17" x14ac:dyDescent="0.45">
      <c r="A13" s="12" t="s">
        <v>78</v>
      </c>
      <c r="B13" s="117" t="s">
        <v>135</v>
      </c>
      <c r="M13" s="128"/>
      <c r="N13" s="128"/>
      <c r="O13" s="128"/>
      <c r="P13" s="128"/>
      <c r="Q13" s="128"/>
    </row>
    <row r="14" spans="1:17" x14ac:dyDescent="0.45">
      <c r="B14" s="47" t="s">
        <v>137</v>
      </c>
      <c r="C14" s="124">
        <f>'Historical Financial Statement'!C34/SUM('Historical Financial Statement'!C29:C30)</f>
        <v>0</v>
      </c>
      <c r="D14" s="125">
        <f>'Historical Financial Statement'!D34/SUM('Historical Financial Statement'!D29:D30)</f>
        <v>0</v>
      </c>
      <c r="E14" s="125">
        <f>'Historical Financial Statement'!E34/SUM('Historical Financial Statement'!E29:E30)</f>
        <v>0</v>
      </c>
      <c r="F14" s="125">
        <f>'Historical Financial Statement'!F34/SUM('Historical Financial Statement'!F29:F30)</f>
        <v>7.0786860198624901E-2</v>
      </c>
      <c r="G14" s="125">
        <f>'Historical Financial Statement'!G34/SUM('Historical Financial Statement'!G29:G30)</f>
        <v>6.9743683776243931E-2</v>
      </c>
      <c r="H14" s="125">
        <f>'Historical Financial Statement'!H34/SUM('Historical Financial Statement'!H29:H30)</f>
        <v>7.264764432647644E-2</v>
      </c>
      <c r="I14" s="125">
        <f>'Historical Financial Statement'!I34/SUM('Historical Financial Statement'!I29:I30)</f>
        <v>0.11005609558794277</v>
      </c>
      <c r="J14" s="125">
        <f>'Historical Financial Statement'!J34/SUM('Historical Financial Statement'!J29:J30)</f>
        <v>9.4863588905533619E-2</v>
      </c>
      <c r="K14" s="125">
        <f>'Historical Financial Statement'!K34/SUM('Historical Financial Statement'!K29:K30)</f>
        <v>8.5860694232816379E-2</v>
      </c>
      <c r="L14" s="125">
        <f>'Historical Financial Statement'!L34/SUM('Historical Financial Statement'!L29:L30)</f>
        <v>9.8823934864084778E-2</v>
      </c>
      <c r="M14" s="131">
        <f>'Historical Financial Statement'!M34/SUM('Historical Financial Statement'!M29:M30)</f>
        <v>8.5189289299472087E-2</v>
      </c>
      <c r="N14" s="131">
        <f>'Historical Financial Statement'!N34/SUM('Historical Financial Statement'!N29:N30)</f>
        <v>7.427521305682061E-2</v>
      </c>
      <c r="O14" s="131">
        <f>'Historical Financial Statement'!O34/SUM('Historical Financial Statement'!O29:O30)</f>
        <v>6.5496378811677344E-2</v>
      </c>
      <c r="P14" s="131">
        <f>'Historical Financial Statement'!P34/SUM('Historical Financial Statement'!P29:P30)</f>
        <v>5.7462758617250212E-2</v>
      </c>
      <c r="Q14" s="131">
        <f>'Historical Financial Statement'!Q34/SUM('Historical Financial Statement'!Q29:Q30)</f>
        <v>5.0658070844443626E-2</v>
      </c>
    </row>
    <row r="15" spans="1:17" x14ac:dyDescent="0.45">
      <c r="B15" s="47" t="s">
        <v>150</v>
      </c>
      <c r="C15" s="124">
        <f>'Historical Financial Statement'!C34/'Historical Financial Statement'!C60</f>
        <v>0</v>
      </c>
      <c r="D15" s="125">
        <f>'Historical Financial Statement'!D34/'Historical Financial Statement'!D60</f>
        <v>0</v>
      </c>
      <c r="E15" s="125">
        <f>'Historical Financial Statement'!E34/'Historical Financial Statement'!E60</f>
        <v>0</v>
      </c>
      <c r="F15" s="125">
        <f>'Historical Financial Statement'!F34/'Historical Financial Statement'!F60</f>
        <v>5.0468409586056646E-2</v>
      </c>
      <c r="G15" s="125">
        <f>'Historical Financial Statement'!G34/'Historical Financial Statement'!G60</f>
        <v>4.9529815553757288E-2</v>
      </c>
      <c r="H15" s="125">
        <f>'Historical Financial Statement'!H34/'Historical Financial Statement'!H60</f>
        <v>4.6894944700974051E-2</v>
      </c>
      <c r="I15" s="125">
        <f>'Historical Financial Statement'!I34/'Historical Financial Statement'!I60</f>
        <v>6.6607274711868766E-2</v>
      </c>
      <c r="J15" s="125">
        <f>'Historical Financial Statement'!J34/'Historical Financial Statement'!J60</f>
        <v>6.1454197912071754E-2</v>
      </c>
      <c r="K15" s="125">
        <f>'Historical Financial Statement'!K34/'Historical Financial Statement'!K60</f>
        <v>5.566494130383301E-2</v>
      </c>
      <c r="L15" s="125">
        <f>'Historical Financial Statement'!L34/'Historical Financial Statement'!L60</f>
        <v>5.9473192989733484E-2</v>
      </c>
      <c r="M15" s="131">
        <f>'Historical Financial Statement'!M34/'Historical Financial Statement'!M60</f>
        <v>5.5072050727668673E-2</v>
      </c>
      <c r="N15" s="131">
        <f>'Historical Financial Statement'!N34/'Historical Financial Statement'!N60</f>
        <v>4.8686799910478223E-2</v>
      </c>
      <c r="O15" s="131">
        <f>'Historical Financial Statement'!O34/'Historical Financial Statement'!O60</f>
        <v>4.3298707669026847E-2</v>
      </c>
      <c r="P15" s="131">
        <f>'Historical Financial Statement'!P34/'Historical Financial Statement'!P60</f>
        <v>3.8449070290217713E-2</v>
      </c>
      <c r="Q15" s="131">
        <f>'Historical Financial Statement'!Q34/'Historical Financial Statement'!Q60</f>
        <v>3.4251293452146538E-2</v>
      </c>
    </row>
    <row r="16" spans="1:17" x14ac:dyDescent="0.45">
      <c r="B16" s="47" t="s">
        <v>139</v>
      </c>
      <c r="C16" s="124">
        <f>IFERROR('Historical Financial Statement'!C19/'Historical Financial Statement'!C17,0)</f>
        <v>0</v>
      </c>
      <c r="D16" s="124">
        <f>IFERROR('Historical Financial Statement'!D19/'Historical Financial Statement'!D17,0)</f>
        <v>0</v>
      </c>
      <c r="E16" s="124">
        <f>IFERROR('Historical Financial Statement'!E19/'Historical Financial Statement'!E17,0)</f>
        <v>0</v>
      </c>
      <c r="F16" s="124">
        <f>IFERROR('Historical Financial Statement'!F19/'Historical Financial Statement'!F17,0)</f>
        <v>129.45294117647057</v>
      </c>
      <c r="G16" s="124">
        <f>IFERROR('Historical Financial Statement'!G19/'Historical Financial Statement'!G17,0)</f>
        <v>136.55384615384617</v>
      </c>
      <c r="H16" s="124">
        <f>IFERROR('Historical Financial Statement'!H19/'Historical Financial Statement'!H17,0)</f>
        <v>150.55000000000001</v>
      </c>
      <c r="I16" s="124">
        <f>IFERROR('Historical Financial Statement'!I19/'Historical Financial Statement'!I17,0)</f>
        <v>117.33098591549296</v>
      </c>
      <c r="J16" s="124">
        <f>IFERROR('Historical Financial Statement'!J19/'Historical Financial Statement'!J17,0)</f>
        <v>76.57021276595745</v>
      </c>
      <c r="K16" s="124">
        <f>IFERROR('Historical Financial Statement'!K19/'Historical Financial Statement'!K17,0)</f>
        <v>90.40384615384616</v>
      </c>
      <c r="L16" s="124">
        <f>IFERROR('Historical Financial Statement'!L19/'Historical Financial Statement'!L17,0)</f>
        <v>96.14182692307692</v>
      </c>
      <c r="M16" s="132">
        <f>IFERROR('Historical Financial Statement'!M19/'Historical Financial Statement'!M17,0)</f>
        <v>184.52993653594942</v>
      </c>
      <c r="N16" s="132">
        <f>IFERROR('Historical Financial Statement'!N19/'Historical Financial Statement'!N17,0)</f>
        <v>183.45808348061729</v>
      </c>
      <c r="O16" s="132">
        <f>IFERROR('Historical Financial Statement'!O19/'Historical Financial Statement'!O17,0)</f>
        <v>182.43192256503536</v>
      </c>
      <c r="P16" s="132">
        <f>IFERROR('Historical Financial Statement'!P19/'Historical Financial Statement'!P17,0)</f>
        <v>183.22034898408808</v>
      </c>
      <c r="Q16" s="132">
        <f>IFERROR('Historical Financial Statement'!Q19/'Historical Financial Statement'!Q17,0)</f>
        <v>201.04685408241855</v>
      </c>
    </row>
    <row r="17" spans="1:23" x14ac:dyDescent="0.45"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32"/>
      <c r="N17" s="132"/>
      <c r="O17" s="132"/>
      <c r="P17" s="132"/>
      <c r="Q17" s="132"/>
    </row>
    <row r="18" spans="1:23" x14ac:dyDescent="0.45">
      <c r="A18" s="12" t="s">
        <v>78</v>
      </c>
      <c r="B18" s="117" t="s">
        <v>140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32"/>
      <c r="N18" s="132"/>
      <c r="O18" s="132"/>
      <c r="P18" s="132"/>
      <c r="Q18" s="132"/>
      <c r="S18" t="s">
        <v>132</v>
      </c>
    </row>
    <row r="19" spans="1:23" x14ac:dyDescent="0.45">
      <c r="B19" s="47" t="s">
        <v>141</v>
      </c>
      <c r="C19" s="124">
        <f>'Historical Financial Statement'!C3/'Historical Financial Statement'!C60</f>
        <v>0.82363977485928708</v>
      </c>
      <c r="D19" s="124">
        <f>'Historical Financial Statement'!D3/'Historical Financial Statement'!D60</f>
        <v>0.88875726222132601</v>
      </c>
      <c r="E19" s="124">
        <f>'Historical Financial Statement'!E3/'Historical Financial Statement'!E60</f>
        <v>0.98345347702995267</v>
      </c>
      <c r="F19" s="124">
        <f>'Historical Financial Statement'!F3/'Historical Financial Statement'!F60</f>
        <v>0.98900871459694994</v>
      </c>
      <c r="G19" s="124">
        <f>'Historical Financial Statement'!G3/'Historical Financial Statement'!G60</f>
        <v>0.9345276297309113</v>
      </c>
      <c r="H19" s="124">
        <f>'Historical Financial Statement'!H3/'Historical Financial Statement'!H60</f>
        <v>1.0420803742000702</v>
      </c>
      <c r="I19" s="124">
        <f>'Historical Financial Statement'!I3/'Historical Financial Statement'!I60</f>
        <v>1.1779431121384314</v>
      </c>
      <c r="J19" s="124">
        <f>'Historical Financial Statement'!J3/'Historical Financial Statement'!J60</f>
        <v>1.1297603293633289</v>
      </c>
      <c r="K19" s="124">
        <f>'Historical Financial Statement'!K3/'Historical Financial Statement'!K60</f>
        <v>1.1028113264995434</v>
      </c>
      <c r="L19" s="124">
        <f>'Historical Financial Statement'!L3/'Historical Financial Statement'!L60</f>
        <v>1.1578995125998133</v>
      </c>
      <c r="M19" s="132">
        <f>'Historical Financial Statement'!M3/'Historical Financial Statement'!M60</f>
        <v>1.1801093587817597</v>
      </c>
      <c r="N19" s="132">
        <f>'Historical Financial Statement'!N3/'Historical Financial Statement'!N60</f>
        <v>1.1482689627518088</v>
      </c>
      <c r="O19" s="132">
        <f>'Historical Financial Statement'!O3/'Historical Financial Statement'!O60</f>
        <v>1.1239544740988145</v>
      </c>
      <c r="P19" s="132">
        <f>'Historical Financial Statement'!P3/'Historical Financial Statement'!P60</f>
        <v>1.0985024233150831</v>
      </c>
      <c r="Q19" s="132">
        <f>'Historical Financial Statement'!Q3/'Historical Financial Statement'!Q60</f>
        <v>1.0770442419908408</v>
      </c>
    </row>
    <row r="20" spans="1:23" x14ac:dyDescent="0.45">
      <c r="B20" s="47" t="s">
        <v>142</v>
      </c>
      <c r="C20" s="124">
        <f>'Historical Financial Statement'!C3/'Historical Financial Statement'!C48</f>
        <v>4.8299597997037873</v>
      </c>
      <c r="D20" s="124">
        <f>'Historical Financial Statement'!D3/'Historical Financial Statement'!D48</f>
        <v>5.6085573405439799</v>
      </c>
      <c r="E20" s="124">
        <f>'Historical Financial Statement'!E3/'Historical Financial Statement'!E48</f>
        <v>5.2625716104392106</v>
      </c>
      <c r="F20" s="124">
        <f>'Historical Financial Statement'!F3/'Historical Financial Statement'!F48</f>
        <v>3.8165118332002188</v>
      </c>
      <c r="G20" s="124">
        <f>'Historical Financial Statement'!G3/'Historical Financial Statement'!G48</f>
        <v>3.9393060184277591</v>
      </c>
      <c r="H20" s="124">
        <f>'Historical Financial Statement'!H3/'Historical Financial Statement'!H48</f>
        <v>4.7147674418604648</v>
      </c>
      <c r="I20" s="124">
        <f>'Historical Financial Statement'!I3/'Historical Financial Statement'!I48</f>
        <v>5.0219674935842598</v>
      </c>
      <c r="J20" s="124">
        <f>'Historical Financial Statement'!J3/'Historical Financial Statement'!J48</f>
        <v>5.5633190934762142</v>
      </c>
      <c r="K20" s="124">
        <f>'Historical Financial Statement'!K3/'Historical Financial Statement'!K48</f>
        <v>5.2643648460967025</v>
      </c>
      <c r="L20" s="124">
        <f>'Historical Financial Statement'!L3/'Historical Financial Statement'!L48</f>
        <v>5.2901984009475864</v>
      </c>
      <c r="M20" s="132">
        <f>'Historical Financial Statement'!M3/'Historical Financial Statement'!M48</f>
        <v>5.8408179707535393</v>
      </c>
      <c r="N20" s="132">
        <f>'Historical Financial Statement'!N3/'Historical Financial Statement'!N48</f>
        <v>6.4399483646471651</v>
      </c>
      <c r="O20" s="132">
        <f>'Historical Financial Statement'!O3/'Historical Financial Statement'!O48</f>
        <v>7.0280124904076082</v>
      </c>
      <c r="P20" s="132">
        <f>'Historical Financial Statement'!P3/'Historical Financial Statement'!P48</f>
        <v>7.6251339984669455</v>
      </c>
      <c r="Q20" s="132">
        <f>'Historical Financial Statement'!Q3/'Historical Financial Statement'!Q48</f>
        <v>8.2904597785601961</v>
      </c>
      <c r="W20" t="s">
        <v>132</v>
      </c>
    </row>
    <row r="21" spans="1:23" x14ac:dyDescent="0.45">
      <c r="B21" s="47" t="s">
        <v>143</v>
      </c>
      <c r="C21" s="124">
        <f>IFERROR('Historical Financial Statement'!C4/'Historical Financial Statement'!C56,0)</f>
        <v>0</v>
      </c>
      <c r="D21" s="124">
        <f>IFERROR('Historical Financial Statement'!D4/'Historical Financial Statement'!D56,0)</f>
        <v>0</v>
      </c>
      <c r="E21" s="124">
        <f>IFERROR('Historical Financial Statement'!E4/'Historical Financial Statement'!E56,0)</f>
        <v>0</v>
      </c>
      <c r="F21" s="124">
        <f>IFERROR('Historical Financial Statement'!F4/'Historical Financial Statement'!F56,0)</f>
        <v>0</v>
      </c>
      <c r="G21" s="124">
        <f>IFERROR('Historical Financial Statement'!G4/'Historical Financial Statement'!G56,0)</f>
        <v>0</v>
      </c>
      <c r="H21" s="124">
        <f>IFERROR('Historical Financial Statement'!H4/'Historical Financial Statement'!H56,0)</f>
        <v>0</v>
      </c>
      <c r="I21" s="124">
        <f>IFERROR('Historical Financial Statement'!I4/'Historical Financial Statement'!I56,0)</f>
        <v>0</v>
      </c>
      <c r="J21" s="124">
        <f>IFERROR('Historical Financial Statement'!J4/'Historical Financial Statement'!J56,0)</f>
        <v>0</v>
      </c>
      <c r="K21" s="124">
        <f>IFERROR('Historical Financial Statement'!K4/'Historical Financial Statement'!K56,0)</f>
        <v>0</v>
      </c>
      <c r="L21" s="124">
        <f>IFERROR('Historical Financial Statement'!L4/'Historical Financial Statement'!L56,0)</f>
        <v>0</v>
      </c>
      <c r="M21" s="132">
        <f>IFERROR('Historical Financial Statement'!M4/'Historical Financial Statement'!M56,0)</f>
        <v>0</v>
      </c>
      <c r="N21" s="132">
        <f>IFERROR('Historical Financial Statement'!N4/'Historical Financial Statement'!N56,0)</f>
        <v>0</v>
      </c>
      <c r="O21" s="132">
        <f>IFERROR('Historical Financial Statement'!O4/'Historical Financial Statement'!O56,0)</f>
        <v>0</v>
      </c>
      <c r="P21" s="132">
        <f>IFERROR('Historical Financial Statement'!P4/'Historical Financial Statement'!P56,0)</f>
        <v>0</v>
      </c>
      <c r="Q21" s="132">
        <f>IFERROR('Historical Financial Statement'!Q4/'Historical Financial Statement'!Q56,0)</f>
        <v>0</v>
      </c>
    </row>
    <row r="22" spans="1:23" x14ac:dyDescent="0.45">
      <c r="B22" s="47" t="s">
        <v>144</v>
      </c>
      <c r="C22" s="124">
        <f>'Historical Financial Statement'!C4/'Historical Financial Statement'!C39</f>
        <v>121.55040871934605</v>
      </c>
      <c r="D22" s="124">
        <f>'Historical Financial Statement'!D4/'Historical Financial Statement'!D39</f>
        <v>66.851585014409224</v>
      </c>
      <c r="E22" s="124">
        <f>'Historical Financial Statement'!E4/'Historical Financial Statement'!E39</f>
        <v>33.502114803625375</v>
      </c>
      <c r="F22" s="124">
        <f>'Historical Financial Statement'!F4/'Historical Financial Statement'!F39</f>
        <v>21.812762973352033</v>
      </c>
      <c r="G22" s="124">
        <f>'Historical Financial Statement'!G4/'Historical Financial Statement'!G39</f>
        <v>25.894139886578451</v>
      </c>
      <c r="H22" s="124">
        <f>'Historical Financial Statement'!H4/'Historical Financial Statement'!H39</f>
        <v>20.517416545718433</v>
      </c>
      <c r="I22" s="124">
        <f>'Historical Financial Statement'!I4/'Historical Financial Statement'!I39</f>
        <v>27.135834411384216</v>
      </c>
      <c r="J22" s="124">
        <f>'Historical Financial Statement'!J4/'Historical Financial Statement'!J39</f>
        <v>27.813447927199192</v>
      </c>
      <c r="K22" s="124">
        <f>'Historical Financial Statement'!K4/'Historical Financial Statement'!K39</f>
        <v>27.99831892411143</v>
      </c>
      <c r="L22" s="124">
        <f>'Historical Financial Statement'!L4/'Historical Financial Statement'!L39</f>
        <v>27.035623946037099</v>
      </c>
      <c r="M22" s="132">
        <f>'Historical Financial Statement'!M4/'Historical Financial Statement'!M39</f>
        <v>30.143441712628899</v>
      </c>
      <c r="N22" s="132">
        <f>'Historical Financial Statement'!N4/'Historical Financial Statement'!N39</f>
        <v>28.035172314156775</v>
      </c>
      <c r="O22" s="132">
        <f>'Historical Financial Statement'!O4/'Historical Financial Statement'!O39</f>
        <v>26.496680609716485</v>
      </c>
      <c r="P22" s="132">
        <f>'Historical Financial Statement'!P4/'Historical Financial Statement'!P39</f>
        <v>25.953972054264273</v>
      </c>
      <c r="Q22" s="132">
        <f>'Historical Financial Statement'!Q4/'Historical Financial Statement'!Q39</f>
        <v>26.456250770965404</v>
      </c>
    </row>
    <row r="23" spans="1:23" x14ac:dyDescent="0.45">
      <c r="B23" s="47" t="s">
        <v>145</v>
      </c>
      <c r="C23" s="124">
        <f>'Historical Financial Statement'!C3/'Historical Financial Statement'!C55</f>
        <v>5.5578639831196233</v>
      </c>
      <c r="D23" s="124">
        <f>'Historical Financial Statement'!D3/'Historical Financial Statement'!D55</f>
        <v>5.3661543144118093</v>
      </c>
      <c r="E23" s="124">
        <f>'Historical Financial Statement'!E3/'Historical Financial Statement'!E55</f>
        <v>5.5759762595265396</v>
      </c>
      <c r="F23" s="124">
        <f>'Historical Financial Statement'!F3/'Historical Financial Statement'!F55</f>
        <v>4.9110726456428839</v>
      </c>
      <c r="G23" s="124">
        <f>'Historical Financial Statement'!G3/'Historical Financial Statement'!G55</f>
        <v>5.2074219964755883</v>
      </c>
      <c r="H23" s="124">
        <f>'Historical Financial Statement'!H3/'Historical Financial Statement'!H55</f>
        <v>5.3591065292096216</v>
      </c>
      <c r="I23" s="124">
        <f>'Historical Financial Statement'!I3/'Historical Financial Statement'!I55</f>
        <v>5.7727737570799249</v>
      </c>
      <c r="J23" s="124">
        <f>'Historical Financial Statement'!J3/'Historical Financial Statement'!J55</f>
        <v>5.0895903023879709</v>
      </c>
      <c r="K23" s="124">
        <f>'Historical Financial Statement'!K3/'Historical Financial Statement'!K55</f>
        <v>5.2310803004043906</v>
      </c>
      <c r="L23" s="124">
        <f>'Historical Financial Statement'!L3/'Historical Financial Statement'!L55</f>
        <v>5.0703865584378729</v>
      </c>
      <c r="M23" s="132">
        <f>'Historical Financial Statement'!M3/'Historical Financial Statement'!M55</f>
        <v>5.3023176208442653</v>
      </c>
      <c r="N23" s="132">
        <f>'Historical Financial Statement'!N3/'Historical Financial Statement'!N55</f>
        <v>5.2780495501153393</v>
      </c>
      <c r="O23" s="132">
        <f>'Historical Financial Statement'!O3/'Historical Financial Statement'!O55</f>
        <v>5.2693979341577721</v>
      </c>
      <c r="P23" s="132">
        <f>'Historical Financial Statement'!P3/'Historical Financial Statement'!P55</f>
        <v>5.2405841544848215</v>
      </c>
      <c r="Q23" s="132">
        <f>'Historical Financial Statement'!Q3/'Historical Financial Statement'!Q55</f>
        <v>5.2759836990392737</v>
      </c>
    </row>
    <row r="24" spans="1:23" x14ac:dyDescent="0.45"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32"/>
      <c r="N24" s="132"/>
      <c r="O24" s="132"/>
      <c r="P24" s="132"/>
      <c r="Q24" s="132"/>
    </row>
    <row r="25" spans="1:23" x14ac:dyDescent="0.45">
      <c r="A25" s="12" t="s">
        <v>78</v>
      </c>
      <c r="B25" s="117" t="s">
        <v>146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32"/>
      <c r="N25" s="132"/>
      <c r="O25" s="132"/>
      <c r="P25" s="132"/>
      <c r="Q25" s="132"/>
    </row>
    <row r="26" spans="1:23" x14ac:dyDescent="0.45">
      <c r="B26" s="47" t="s">
        <v>147</v>
      </c>
      <c r="C26" s="124">
        <f>'Historical Financial Statement'!C58/'Historical Financial Statement'!C41</f>
        <v>95.223433242506815</v>
      </c>
      <c r="D26" s="124">
        <f>'Historical Financial Statement'!D58/'Historical Financial Statement'!D41</f>
        <v>47.492795389048993</v>
      </c>
      <c r="E26" s="124">
        <f>'Historical Financial Statement'!E58/'Historical Financial Statement'!E41</f>
        <v>20.782477341389729</v>
      </c>
      <c r="F26" s="124">
        <f>'Historical Financial Statement'!F58/'Historical Financial Statement'!F41</f>
        <v>13.021037868162693</v>
      </c>
      <c r="G26" s="124">
        <f>'Historical Financial Statement'!G58/'Historical Financial Statement'!G41</f>
        <v>16.638185255198486</v>
      </c>
      <c r="H26" s="124">
        <f>'Historical Financial Statement'!H58/'Historical Financial Statement'!H41</f>
        <v>9.7169811320754711</v>
      </c>
      <c r="I26" s="124">
        <f>'Historical Financial Statement'!I58/'Historical Financial Statement'!I41</f>
        <v>9.7275549805950838</v>
      </c>
      <c r="J26" s="124">
        <f>'Historical Financial Statement'!J58/'Historical Financial Statement'!J41</f>
        <v>11.369817997977755</v>
      </c>
      <c r="K26" s="124">
        <f>'Historical Financial Statement'!K58/'Historical Financial Statement'!K41</f>
        <v>13.355667627281461</v>
      </c>
      <c r="L26" s="124">
        <f>'Historical Financial Statement'!L58/'Historical Financial Statement'!L41</f>
        <v>12.106871838111298</v>
      </c>
      <c r="M26" s="132">
        <f>'Historical Financial Statement'!M58/'Historical Financial Statement'!M41</f>
        <v>11.862369767254878</v>
      </c>
      <c r="N26" s="132">
        <f>'Historical Financial Statement'!N58/'Historical Financial Statement'!N41</f>
        <v>12.947117796675577</v>
      </c>
      <c r="O26" s="132">
        <f>'Historical Financial Statement'!O58/'Historical Financial Statement'!O41</f>
        <v>13.706395449805347</v>
      </c>
      <c r="P26" s="132">
        <f>'Historical Financial Statement'!P58/'Historical Financial Statement'!P41</f>
        <v>14.634903303637472</v>
      </c>
      <c r="Q26" s="132">
        <f>'Historical Financial Statement'!Q58/'Historical Financial Statement'!Q41</f>
        <v>15.789196222842925</v>
      </c>
    </row>
    <row r="27" spans="1:23" x14ac:dyDescent="0.45">
      <c r="B27" s="47" t="s">
        <v>148</v>
      </c>
      <c r="C27" s="124">
        <f>(SUM('Historical Financial Statement'!C55,'Historical Financial Statement'!C57)-'Historical Financial Statement'!C56)/'Historical Financial Statement'!C41</f>
        <v>95.223433242506815</v>
      </c>
      <c r="D27" s="124">
        <f>(SUM('Historical Financial Statement'!D55,'Historical Financial Statement'!D57)-'Historical Financial Statement'!D56)/'Historical Financial Statement'!D41</f>
        <v>47.492795389048993</v>
      </c>
      <c r="E27" s="124">
        <f>(SUM('Historical Financial Statement'!E55,'Historical Financial Statement'!E57)-'Historical Financial Statement'!E56)/'Historical Financial Statement'!E41</f>
        <v>20.782477341389729</v>
      </c>
      <c r="F27" s="124">
        <f>(SUM('Historical Financial Statement'!F55,'Historical Financial Statement'!F57)-'Historical Financial Statement'!F56)/'Historical Financial Statement'!F41</f>
        <v>13.021037868162693</v>
      </c>
      <c r="G27" s="124">
        <f>(SUM('Historical Financial Statement'!G55,'Historical Financial Statement'!G57)-'Historical Financial Statement'!G56)/'Historical Financial Statement'!G41</f>
        <v>16.638185255198486</v>
      </c>
      <c r="H27" s="124">
        <f>(SUM('Historical Financial Statement'!H55,'Historical Financial Statement'!H57)-'Historical Financial Statement'!H56)/'Historical Financial Statement'!H41</f>
        <v>9.7169811320754711</v>
      </c>
      <c r="I27" s="124">
        <f>(SUM('Historical Financial Statement'!I55,'Historical Financial Statement'!I57)-'Historical Financial Statement'!I56)/'Historical Financial Statement'!I41</f>
        <v>9.7275549805950838</v>
      </c>
      <c r="J27" s="124">
        <f>(SUM('Historical Financial Statement'!J55,'Historical Financial Statement'!J57)-'Historical Financial Statement'!J56)/'Historical Financial Statement'!J41</f>
        <v>11.369817997977755</v>
      </c>
      <c r="K27" s="124">
        <f>(SUM('Historical Financial Statement'!K55,'Historical Financial Statement'!K57)-'Historical Financial Statement'!K56)/'Historical Financial Statement'!K41</f>
        <v>13.355667627281461</v>
      </c>
      <c r="L27" s="124">
        <f>(SUM('Historical Financial Statement'!L55,'Historical Financial Statement'!L57)-'Historical Financial Statement'!L56)/'Historical Financial Statement'!L41</f>
        <v>12.106871838111298</v>
      </c>
      <c r="M27" s="132">
        <f>(SUM('Historical Financial Statement'!M55,'Historical Financial Statement'!M57)-'Historical Financial Statement'!M56)/'Historical Financial Statement'!M41</f>
        <v>11.862369767254878</v>
      </c>
      <c r="N27" s="132">
        <f>(SUM('Historical Financial Statement'!N55,'Historical Financial Statement'!N57)-'Historical Financial Statement'!N56)/'Historical Financial Statement'!N41</f>
        <v>12.947117796675577</v>
      </c>
      <c r="O27" s="132">
        <f>(SUM('Historical Financial Statement'!O55,'Historical Financial Statement'!O57)-'Historical Financial Statement'!O56)/'Historical Financial Statement'!O41</f>
        <v>13.706395449805347</v>
      </c>
      <c r="P27" s="132">
        <f>(SUM('Historical Financial Statement'!P55,'Historical Financial Statement'!P57)-'Historical Financial Statement'!P56)/'Historical Financial Statement'!P41</f>
        <v>14.634903303637472</v>
      </c>
      <c r="Q27" s="132">
        <f>(SUM('Historical Financial Statement'!Q55,'Historical Financial Statement'!Q57)-'Historical Financial Statement'!Q56)/'Historical Financial Statement'!Q41</f>
        <v>15.789196222842925</v>
      </c>
    </row>
    <row r="28" spans="1:23" x14ac:dyDescent="0.45">
      <c r="B28" s="47" t="s">
        <v>149</v>
      </c>
      <c r="C28" s="124">
        <f>'Historical Financial Statement'!C57/'Historical Financial Statement'!C41</f>
        <v>61.648501362397823</v>
      </c>
      <c r="D28" s="124">
        <f>'Historical Financial Statement'!D57/'Historical Financial Statement'!D41</f>
        <v>28.556195965417867</v>
      </c>
      <c r="E28" s="124">
        <f>'Historical Financial Statement'!E57/'Historical Financial Statement'!E41</f>
        <v>11.82356495468278</v>
      </c>
      <c r="F28" s="124">
        <f>'Historical Financial Statement'!F57/'Historical Financial Statement'!F41</f>
        <v>6.5389200561009817</v>
      </c>
      <c r="G28" s="124">
        <f>'Historical Financial Statement'!G57/'Historical Financial Statement'!G41</f>
        <v>9.3436672967863892</v>
      </c>
      <c r="H28" s="124">
        <f>'Historical Financial Statement'!H57/'Historical Financial Statement'!H41</f>
        <v>4.2264150943396226</v>
      </c>
      <c r="I28" s="124">
        <f>'Historical Financial Statement'!I57/'Historical Financial Statement'!I41</f>
        <v>3.1495472186287192</v>
      </c>
      <c r="J28" s="124">
        <f>'Historical Financial Statement'!J57/'Historical Financial Statement'!J41</f>
        <v>3.7376137512639027</v>
      </c>
      <c r="K28" s="124">
        <f>'Historical Financial Statement'!K57/'Historical Financial Statement'!K41</f>
        <v>5.8729586935638807</v>
      </c>
      <c r="L28" s="124">
        <f>'Historical Financial Statement'!L57/'Historical Financial Statement'!L41</f>
        <v>4.6798060708263067</v>
      </c>
      <c r="M28" s="132">
        <f>'Historical Financial Statement'!M57/'Historical Financial Statement'!M41</f>
        <v>3.6327374908039443</v>
      </c>
      <c r="N28" s="132">
        <f>'Historical Financial Statement'!N57/'Historical Financial Statement'!N41</f>
        <v>5.3015049059537978</v>
      </c>
      <c r="O28" s="132">
        <f>'Historical Financial Statement'!O57/'Historical Financial Statement'!O41</f>
        <v>6.5066794947847688</v>
      </c>
      <c r="P28" s="132">
        <f>'Historical Financial Statement'!P57/'Historical Financial Statement'!P41</f>
        <v>7.5719587402116328</v>
      </c>
      <c r="Q28" s="132">
        <f>'Historical Financial Statement'!Q57/'Historical Financial Statement'!Q41</f>
        <v>8.6541461533222677</v>
      </c>
    </row>
    <row r="29" spans="1:23" x14ac:dyDescent="0.45"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32"/>
      <c r="N29" s="132"/>
      <c r="O29" s="132"/>
      <c r="P29" s="132"/>
      <c r="Q29" s="132"/>
    </row>
    <row r="30" spans="1:23" x14ac:dyDescent="0.45">
      <c r="A30" s="12" t="s">
        <v>78</v>
      </c>
      <c r="B30" s="117" t="s">
        <v>159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32"/>
      <c r="N30" s="132"/>
      <c r="O30" s="132"/>
      <c r="P30" s="132"/>
      <c r="Q30" s="132"/>
    </row>
    <row r="31" spans="1:23" x14ac:dyDescent="0.45">
      <c r="B31" s="47" t="s">
        <v>151</v>
      </c>
      <c r="C31" s="120">
        <f>'Historical Financial Statement'!C23/'Data Sheet'!B93</f>
        <v>31.243605650971944</v>
      </c>
      <c r="D31" s="120">
        <f>'Historical Financial Statement'!D23/'Data Sheet'!C93</f>
        <v>36.694748408955633</v>
      </c>
      <c r="E31" s="120">
        <f>'Historical Financial Statement'!E23/'Data Sheet'!D93</f>
        <v>35.272036439378333</v>
      </c>
      <c r="F31" s="120">
        <f>'Historical Financial Statement'!F23/'Data Sheet'!E93</f>
        <v>39.067856304296782</v>
      </c>
      <c r="G31" s="120">
        <f>'Historical Financial Statement'!G23/'Data Sheet'!F93</f>
        <v>45.586405989626115</v>
      </c>
      <c r="H31" s="120">
        <f>'Historical Financial Statement'!H23/'Data Sheet'!G93</f>
        <v>52.644590771863932</v>
      </c>
      <c r="I31" s="120">
        <f>'Historical Financial Statement'!I23/'Data Sheet'!H93</f>
        <v>58.11117003326423</v>
      </c>
      <c r="J31" s="120">
        <f>'Historical Financial Statement'!J23/'Data Sheet'!I93</f>
        <v>63.234479269556005</v>
      </c>
      <c r="K31" s="120">
        <f>'Historical Financial Statement'!K23/'Data Sheet'!J93</f>
        <v>64.406616425492984</v>
      </c>
      <c r="L31" s="120">
        <f>'Historical Financial Statement'!L23/'Data Sheet'!K93</f>
        <v>72.674820001972577</v>
      </c>
      <c r="M31" s="133">
        <f>_xlfn.FORECAST.ETS(M$2,$C31:$L31,$C$2:$L$2)</f>
        <v>76.650633501523259</v>
      </c>
      <c r="N31" s="133">
        <f t="shared" ref="N31:Q33" si="1">_xlfn.FORECAST.ETS(N$2,$C31:$L31,$C$2:$L$2)</f>
        <v>81.308070361617581</v>
      </c>
      <c r="O31" s="133">
        <f t="shared" si="1"/>
        <v>85.978232363517662</v>
      </c>
      <c r="P31" s="133">
        <f t="shared" si="1"/>
        <v>90.648429324598553</v>
      </c>
      <c r="Q31" s="133">
        <f t="shared" si="1"/>
        <v>95.318626285679443</v>
      </c>
      <c r="T31" t="s">
        <v>132</v>
      </c>
    </row>
    <row r="32" spans="1:23" x14ac:dyDescent="0.45">
      <c r="B32" s="47" t="s">
        <v>138</v>
      </c>
      <c r="C32" s="120">
        <f>'Data Sheet'!B90/'Ratios Analysis'!C31</f>
        <v>16.359507468821846</v>
      </c>
      <c r="D32" s="120">
        <f>'Data Sheet'!C90/'Ratios Analysis'!D31</f>
        <v>15.421825316613639</v>
      </c>
      <c r="E32" s="120">
        <f>'Data Sheet'!D90/'Ratios Analysis'!E31</f>
        <v>21.088943964957821</v>
      </c>
      <c r="F32" s="120">
        <f>'Data Sheet'!E90/'Ratios Analysis'!F31</f>
        <v>16.420148446421059</v>
      </c>
      <c r="G32" s="120">
        <f>'Data Sheet'!F90/'Ratios Analysis'!G31</f>
        <v>30.010042913041239</v>
      </c>
      <c r="H32" s="120">
        <f>'Data Sheet'!G90/'Ratios Analysis'!H31</f>
        <v>36.221195227129051</v>
      </c>
      <c r="I32" s="120">
        <f>'Data Sheet'!H90/'Ratios Analysis'!I31</f>
        <v>24.572728430396552</v>
      </c>
      <c r="J32" s="120">
        <f>'Data Sheet'!I90/'Ratios Analysis'!J31</f>
        <v>23.690398297013104</v>
      </c>
      <c r="K32" s="120">
        <f>'Data Sheet'!J90/'Ratios Analysis'!K31</f>
        <v>24.38646970093458</v>
      </c>
      <c r="L32" s="120">
        <f>'Data Sheet'!K90/'Ratios Analysis'!L31</f>
        <v>17.208160955418336</v>
      </c>
      <c r="M32" s="133">
        <f>_xlfn.FORECAST.ETS(M$2,$C32:$L32,$C$2:$L$2)</f>
        <v>22.460568869749011</v>
      </c>
      <c r="N32" s="133">
        <f t="shared" si="1"/>
        <v>23.14824779627526</v>
      </c>
      <c r="O32" s="133">
        <f t="shared" si="1"/>
        <v>23.837805612869108</v>
      </c>
      <c r="P32" s="133">
        <f t="shared" si="1"/>
        <v>24.527368591248859</v>
      </c>
      <c r="Q32" s="133">
        <f t="shared" si="1"/>
        <v>25.216931569628606</v>
      </c>
    </row>
    <row r="33" spans="1:19" x14ac:dyDescent="0.45">
      <c r="B33" s="47" t="s">
        <v>152</v>
      </c>
      <c r="C33" s="120">
        <f>SUM('Historical Financial Statement'!C29:C30)/'Data Sheet'!B93</f>
        <v>150.15999477568079</v>
      </c>
      <c r="D33" s="120">
        <f>SUM('Historical Financial Statement'!D29:D30)/'Data Sheet'!C93</f>
        <v>148.62643651847443</v>
      </c>
      <c r="E33" s="120">
        <f>SUM('Historical Financial Statement'!E29:E30)/'Data Sheet'!D93</f>
        <v>148.65984572775756</v>
      </c>
      <c r="F33" s="120">
        <f>SUM('Historical Financial Statement'!F29:F30)/'Data Sheet'!E93</f>
        <v>153.67457149565627</v>
      </c>
      <c r="G33" s="120">
        <f>SUM('Historical Financial Statement'!G29:G30)/'Data Sheet'!F93</f>
        <v>179.19825380805972</v>
      </c>
      <c r="H33" s="120">
        <f>SUM('Historical Financial Statement'!H29:H30)/'Data Sheet'!G93</f>
        <v>179.11902441343571</v>
      </c>
      <c r="I33" s="120">
        <f>SUM('Historical Financial Statement'!I29:I30)/'Data Sheet'!H93</f>
        <v>181.76493274839703</v>
      </c>
      <c r="J33" s="120">
        <f>SUM('Historical Financial Statement'!J29:J30)/'Data Sheet'!I93</f>
        <v>212.28167385386303</v>
      </c>
      <c r="K33" s="120">
        <f>SUM('Historical Financial Statement'!K29:K30)/'Data Sheet'!J93</f>
        <v>230.70329617412662</v>
      </c>
      <c r="L33" s="120">
        <f>SUM('Historical Financial Statement'!L29:L30)/'Data Sheet'!K93</f>
        <v>228.94762797120032</v>
      </c>
      <c r="M33" s="133">
        <f>_xlfn.FORECAST.ETS(M$2,$C33:$L33,$C$2:$L$2)</f>
        <v>241.34757515128189</v>
      </c>
      <c r="N33" s="133">
        <f t="shared" si="1"/>
        <v>251.52304342627173</v>
      </c>
      <c r="O33" s="133">
        <f t="shared" si="1"/>
        <v>261.72631331846628</v>
      </c>
      <c r="P33" s="133">
        <f t="shared" si="1"/>
        <v>271.92965958873003</v>
      </c>
      <c r="Q33" s="133">
        <f t="shared" si="1"/>
        <v>282.13300585899384</v>
      </c>
    </row>
    <row r="34" spans="1:19" x14ac:dyDescent="0.45">
      <c r="M34" s="128"/>
      <c r="N34" s="128"/>
      <c r="O34" s="128"/>
      <c r="P34" s="128"/>
      <c r="Q34" s="128"/>
    </row>
    <row r="35" spans="1:19" x14ac:dyDescent="0.45">
      <c r="A35" t="s">
        <v>78</v>
      </c>
      <c r="B35" s="117" t="s">
        <v>158</v>
      </c>
      <c r="M35" s="128"/>
      <c r="N35" s="128"/>
      <c r="O35" s="128"/>
      <c r="P35" s="128"/>
      <c r="Q35" s="128"/>
    </row>
    <row r="36" spans="1:19" x14ac:dyDescent="0.45">
      <c r="B36" s="47" t="s">
        <v>153</v>
      </c>
      <c r="C36" s="121">
        <f>IFERROR(365/C21,0)</f>
        <v>0</v>
      </c>
      <c r="D36" s="121">
        <f t="shared" ref="D36:Q36" si="2">IFERROR(365/D21,0)</f>
        <v>0</v>
      </c>
      <c r="E36" s="121">
        <f t="shared" si="2"/>
        <v>0</v>
      </c>
      <c r="F36" s="121">
        <f t="shared" si="2"/>
        <v>0</v>
      </c>
      <c r="G36" s="121">
        <f t="shared" si="2"/>
        <v>0</v>
      </c>
      <c r="H36" s="121">
        <f t="shared" si="2"/>
        <v>0</v>
      </c>
      <c r="I36" s="121">
        <f t="shared" si="2"/>
        <v>0</v>
      </c>
      <c r="J36" s="121">
        <f t="shared" si="2"/>
        <v>0</v>
      </c>
      <c r="K36" s="121">
        <f t="shared" si="2"/>
        <v>0</v>
      </c>
      <c r="L36" s="121">
        <f t="shared" si="2"/>
        <v>0</v>
      </c>
      <c r="M36" s="134">
        <f t="shared" si="2"/>
        <v>0</v>
      </c>
      <c r="N36" s="134">
        <f t="shared" si="2"/>
        <v>0</v>
      </c>
      <c r="O36" s="134">
        <f t="shared" si="2"/>
        <v>0</v>
      </c>
      <c r="P36" s="134">
        <f t="shared" si="2"/>
        <v>0</v>
      </c>
      <c r="Q36" s="134">
        <f t="shared" si="2"/>
        <v>0</v>
      </c>
    </row>
    <row r="37" spans="1:19" x14ac:dyDescent="0.45">
      <c r="B37" s="47" t="s">
        <v>154</v>
      </c>
      <c r="C37" s="121">
        <f>365/C22</f>
        <v>3.0028693761348606</v>
      </c>
      <c r="D37" s="121">
        <f t="shared" ref="D37:Q37" si="3">365/D22</f>
        <v>5.4598555878866257</v>
      </c>
      <c r="E37" s="121">
        <f t="shared" si="3"/>
        <v>10.89483461385853</v>
      </c>
      <c r="F37" s="121">
        <f t="shared" si="3"/>
        <v>16.733322616942615</v>
      </c>
      <c r="G37" s="121">
        <f t="shared" si="3"/>
        <v>14.095853409256826</v>
      </c>
      <c r="H37" s="121">
        <f t="shared" si="3"/>
        <v>17.789764085876985</v>
      </c>
      <c r="I37" s="121">
        <f t="shared" si="3"/>
        <v>13.450848588863463</v>
      </c>
      <c r="J37" s="121">
        <f t="shared" si="3"/>
        <v>13.123148232300281</v>
      </c>
      <c r="K37" s="121">
        <f t="shared" si="3"/>
        <v>13.036496976454947</v>
      </c>
      <c r="L37" s="121">
        <f t="shared" si="3"/>
        <v>13.500705614508369</v>
      </c>
      <c r="M37" s="134">
        <f t="shared" si="3"/>
        <v>12.108769910208348</v>
      </c>
      <c r="N37" s="134">
        <f t="shared" si="3"/>
        <v>13.019359963615699</v>
      </c>
      <c r="O37" s="134">
        <f t="shared" si="3"/>
        <v>13.775310401188609</v>
      </c>
      <c r="P37" s="134">
        <f t="shared" si="3"/>
        <v>14.063357979921612</v>
      </c>
      <c r="Q37" s="134">
        <f t="shared" si="3"/>
        <v>13.796361516219516</v>
      </c>
      <c r="R37" s="15"/>
      <c r="S37" t="s">
        <v>132</v>
      </c>
    </row>
    <row r="38" spans="1:19" x14ac:dyDescent="0.45">
      <c r="B38" s="47" t="s">
        <v>155</v>
      </c>
      <c r="C38" s="121">
        <f>365/C23</f>
        <v>65.672711874306415</v>
      </c>
      <c r="D38" s="121">
        <f t="shared" ref="D38:Q38" si="4">365/D23</f>
        <v>68.018916082924477</v>
      </c>
      <c r="E38" s="121">
        <f t="shared" si="4"/>
        <v>65.459389174478375</v>
      </c>
      <c r="F38" s="121">
        <f t="shared" si="4"/>
        <v>74.321849081957467</v>
      </c>
      <c r="G38" s="121">
        <f t="shared" si="4"/>
        <v>70.092264511505689</v>
      </c>
      <c r="H38" s="121">
        <f t="shared" si="4"/>
        <v>68.108368066688044</v>
      </c>
      <c r="I38" s="121">
        <f t="shared" si="4"/>
        <v>63.227837320378555</v>
      </c>
      <c r="J38" s="121">
        <f t="shared" si="4"/>
        <v>71.715006182078483</v>
      </c>
      <c r="K38" s="121">
        <f t="shared" si="4"/>
        <v>69.775262286029815</v>
      </c>
      <c r="L38" s="121">
        <f t="shared" si="4"/>
        <v>71.986621886369988</v>
      </c>
      <c r="M38" s="134">
        <f t="shared" si="4"/>
        <v>68.837822646671739</v>
      </c>
      <c r="N38" s="134">
        <f t="shared" si="4"/>
        <v>69.154333723908252</v>
      </c>
      <c r="O38" s="134">
        <f t="shared" si="4"/>
        <v>69.267875488006652</v>
      </c>
      <c r="P38" s="134">
        <f t="shared" si="4"/>
        <v>69.648724119359457</v>
      </c>
      <c r="Q38" s="134">
        <f t="shared" si="4"/>
        <v>69.181411623099663</v>
      </c>
    </row>
    <row r="39" spans="1:19" s="12" customFormat="1" x14ac:dyDescent="0.45">
      <c r="B39" s="117" t="s">
        <v>156</v>
      </c>
      <c r="C39" s="122">
        <f>SUM(C36,C38)-C37</f>
        <v>62.669842498171555</v>
      </c>
      <c r="D39" s="122">
        <f t="shared" ref="D39:Q39" si="5">SUM(D36,D38)-D37</f>
        <v>62.559060495037855</v>
      </c>
      <c r="E39" s="122">
        <f t="shared" si="5"/>
        <v>54.564554560619847</v>
      </c>
      <c r="F39" s="122">
        <f t="shared" si="5"/>
        <v>57.588526465014851</v>
      </c>
      <c r="G39" s="122">
        <f t="shared" si="5"/>
        <v>55.996411102248864</v>
      </c>
      <c r="H39" s="122">
        <f t="shared" si="5"/>
        <v>50.318603980811062</v>
      </c>
      <c r="I39" s="122">
        <f t="shared" si="5"/>
        <v>49.77698873151509</v>
      </c>
      <c r="J39" s="122">
        <f t="shared" si="5"/>
        <v>58.591857949778202</v>
      </c>
      <c r="K39" s="122">
        <f t="shared" si="5"/>
        <v>56.738765309574866</v>
      </c>
      <c r="L39" s="122">
        <f t="shared" si="5"/>
        <v>58.485916271861619</v>
      </c>
      <c r="M39" s="135">
        <f t="shared" si="5"/>
        <v>56.729052736463387</v>
      </c>
      <c r="N39" s="135">
        <f t="shared" si="5"/>
        <v>56.134973760292553</v>
      </c>
      <c r="O39" s="135">
        <f t="shared" si="5"/>
        <v>55.492565086818047</v>
      </c>
      <c r="P39" s="135">
        <f t="shared" si="5"/>
        <v>55.585366139437845</v>
      </c>
      <c r="Q39" s="135">
        <f t="shared" si="5"/>
        <v>55.385050106880144</v>
      </c>
    </row>
    <row r="40" spans="1:19" x14ac:dyDescent="0.45"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34"/>
      <c r="N40" s="134"/>
      <c r="O40" s="134"/>
      <c r="P40" s="134"/>
      <c r="Q40" s="134"/>
    </row>
    <row r="41" spans="1:19" x14ac:dyDescent="0.45">
      <c r="A41" t="s">
        <v>78</v>
      </c>
      <c r="B41" s="117" t="s">
        <v>157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34"/>
      <c r="N41" s="134"/>
      <c r="O41" s="134"/>
      <c r="P41" s="134"/>
      <c r="Q41" s="134"/>
    </row>
    <row r="42" spans="1:19" x14ac:dyDescent="0.45">
      <c r="B42" s="47" t="s">
        <v>160</v>
      </c>
      <c r="C42" s="123">
        <f>'Data Sheet'!B31/'Historical Financial Statement'!C23</f>
        <v>0.4104786455793214</v>
      </c>
      <c r="D42" s="123">
        <f>'Data Sheet'!C31/'Historical Financial Statement'!D23</f>
        <v>0.5905296649822197</v>
      </c>
      <c r="E42" s="123">
        <f>'Data Sheet'!D31/'Historical Financial Statement'!E23</f>
        <v>0.59847501622323163</v>
      </c>
      <c r="F42" s="123">
        <f>'Data Sheet'!E31/'Historical Financial Statement'!F23</f>
        <v>0.44636095919225915</v>
      </c>
      <c r="G42" s="123">
        <f>'Data Sheet'!F31/'Historical Financial Statement'!G23</f>
        <v>0.59051639808474488</v>
      </c>
      <c r="H42" s="123">
        <f>'Data Sheet'!G31/'Historical Financial Statement'!H23</f>
        <v>0.58735663325205456</v>
      </c>
      <c r="I42" s="123">
        <f>'Data Sheet'!H31/'Historical Financial Statement'!I23</f>
        <v>0.58359050937448154</v>
      </c>
      <c r="J42" s="123">
        <f>'Data Sheet'!I31/'Historical Financial Statement'!J23</f>
        <v>0.72589149649497109</v>
      </c>
      <c r="K42" s="123">
        <f>'Data Sheet'!J31/'Historical Financial Statement'!K23</f>
        <v>0.66645981308411217</v>
      </c>
      <c r="L42" s="123">
        <f>'Data Sheet'!K31/'Historical Financial Statement'!L23</f>
        <v>0.65923865101445345</v>
      </c>
      <c r="M42" s="130">
        <f>_xlfn.FORECAST.ETS(M$2,$C42:$L42,$C$2:$L$2)</f>
        <v>0.7085516355880449</v>
      </c>
      <c r="N42" s="130">
        <f t="shared" ref="N42:Q42" si="6">_xlfn.FORECAST.ETS(N$2,$C42:$L42,$C$2:$L$2)</f>
        <v>0.73187380663346102</v>
      </c>
      <c r="O42" s="130">
        <f t="shared" si="6"/>
        <v>0.75525969897938783</v>
      </c>
      <c r="P42" s="130">
        <f t="shared" si="6"/>
        <v>0.77864576638383243</v>
      </c>
      <c r="Q42" s="130">
        <f t="shared" si="6"/>
        <v>0.80203183378827703</v>
      </c>
    </row>
    <row r="43" spans="1:19" x14ac:dyDescent="0.45">
      <c r="B43" s="47" t="s">
        <v>161</v>
      </c>
      <c r="C43" s="123">
        <f>1-C42</f>
        <v>0.58952135442067854</v>
      </c>
      <c r="D43" s="123">
        <f t="shared" ref="D43:Q43" si="7">1-D42</f>
        <v>0.4094703350177803</v>
      </c>
      <c r="E43" s="123">
        <f t="shared" si="7"/>
        <v>0.40152498377676837</v>
      </c>
      <c r="F43" s="123">
        <f t="shared" si="7"/>
        <v>0.55363904080774085</v>
      </c>
      <c r="G43" s="123">
        <f t="shared" si="7"/>
        <v>0.40948360191525512</v>
      </c>
      <c r="H43" s="123">
        <f t="shared" si="7"/>
        <v>0.41264336674794544</v>
      </c>
      <c r="I43" s="123">
        <f t="shared" si="7"/>
        <v>0.41640949062551846</v>
      </c>
      <c r="J43" s="123">
        <f t="shared" si="7"/>
        <v>0.27410850350502891</v>
      </c>
      <c r="K43" s="123">
        <f t="shared" si="7"/>
        <v>0.33354018691588783</v>
      </c>
      <c r="L43" s="123">
        <f t="shared" si="7"/>
        <v>0.34076134898554655</v>
      </c>
      <c r="M43" s="130">
        <f t="shared" si="7"/>
        <v>0.2914483644119551</v>
      </c>
      <c r="N43" s="130">
        <f t="shared" si="7"/>
        <v>0.26812619336653898</v>
      </c>
      <c r="O43" s="130">
        <f t="shared" si="7"/>
        <v>0.24474030102061217</v>
      </c>
      <c r="P43" s="130">
        <f t="shared" si="7"/>
        <v>0.22135423361616757</v>
      </c>
      <c r="Q43" s="130">
        <f t="shared" si="7"/>
        <v>0.19796816621172297</v>
      </c>
    </row>
    <row r="44" spans="1:19" s="12" customFormat="1" x14ac:dyDescent="0.45">
      <c r="B44" s="117" t="s">
        <v>162</v>
      </c>
      <c r="C44" s="126">
        <f>C43*C8</f>
        <v>0.12266098402481805</v>
      </c>
      <c r="D44" s="126">
        <f t="shared" ref="D44:Q44" si="8">D43*D8</f>
        <v>0.10109514347765816</v>
      </c>
      <c r="E44" s="126">
        <f t="shared" si="8"/>
        <v>9.5268522510315951E-2</v>
      </c>
      <c r="F44" s="126">
        <f t="shared" si="8"/>
        <v>0.14074866310160428</v>
      </c>
      <c r="G44" s="126">
        <f t="shared" si="8"/>
        <v>0.10416890414008986</v>
      </c>
      <c r="H44" s="126">
        <f t="shared" si="8"/>
        <v>0.12127936297279363</v>
      </c>
      <c r="I44" s="126">
        <f t="shared" si="8"/>
        <v>0.13312822417016987</v>
      </c>
      <c r="J44" s="126">
        <f t="shared" si="8"/>
        <v>8.1651459439829308E-2</v>
      </c>
      <c r="K44" s="126">
        <f t="shared" si="8"/>
        <v>9.3116115969859525E-2</v>
      </c>
      <c r="L44" s="126">
        <f t="shared" si="8"/>
        <v>0.10816783698789471</v>
      </c>
      <c r="M44" s="136">
        <f t="shared" si="8"/>
        <v>9.994172712244867E-2</v>
      </c>
      <c r="N44" s="136">
        <f t="shared" si="8"/>
        <v>8.7871981917016589E-2</v>
      </c>
      <c r="O44" s="136">
        <f t="shared" si="8"/>
        <v>7.6814041682315065E-2</v>
      </c>
      <c r="P44" s="136">
        <f t="shared" si="8"/>
        <v>6.7342464224160542E-2</v>
      </c>
      <c r="Q44" s="136">
        <f t="shared" si="8"/>
        <v>5.8480104477802934E-2</v>
      </c>
    </row>
    <row r="45" spans="1:19" s="9" customFormat="1" x14ac:dyDescent="0.45">
      <c r="B45" s="44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</row>
  </sheetData>
  <mergeCells count="1">
    <mergeCell ref="B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9A1B-5915-428A-8A7E-FC666DBF3FA5}">
  <dimension ref="B1:Q14"/>
  <sheetViews>
    <sheetView showGridLines="0" workbookViewId="0">
      <selection activeCell="B2" sqref="B2:L2"/>
    </sheetView>
  </sheetViews>
  <sheetFormatPr defaultRowHeight="14.25" x14ac:dyDescent="0.45"/>
  <cols>
    <col min="1" max="1" width="1.796875" customWidth="1"/>
    <col min="2" max="2" width="14.86328125" style="12" bestFit="1" customWidth="1"/>
    <col min="3" max="4" width="8.265625" bestFit="1" customWidth="1"/>
  </cols>
  <sheetData>
    <row r="1" spans="2:17" ht="15.75" x14ac:dyDescent="0.5">
      <c r="B1" s="261" t="str">
        <f>"DuPont Models for "&amp;'Data Sheet'!B1</f>
        <v>DuPont Models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2:17" ht="14.65" thickBot="1" x14ac:dyDescent="0.5">
      <c r="B2" s="116" t="str">
        <f>'Data Sheet'!A16</f>
        <v>Report Date</v>
      </c>
      <c r="C2" s="22">
        <f>'Data Sheet'!B16</f>
        <v>42825</v>
      </c>
      <c r="D2" s="22">
        <f>'Data Sheet'!C16</f>
        <v>43190</v>
      </c>
      <c r="E2" s="22">
        <f>'Data Sheet'!D16</f>
        <v>43555</v>
      </c>
      <c r="F2" s="22">
        <f>'Data Sheet'!E16</f>
        <v>43921</v>
      </c>
      <c r="G2" s="22">
        <f>'Data Sheet'!F16</f>
        <v>44286</v>
      </c>
      <c r="H2" s="22">
        <f>'Data Sheet'!G16</f>
        <v>44651</v>
      </c>
      <c r="I2" s="22">
        <f>'Data Sheet'!H16</f>
        <v>45016</v>
      </c>
      <c r="J2" s="22">
        <f>'Data Sheet'!I16</f>
        <v>45382</v>
      </c>
      <c r="K2" s="22">
        <f>'Data Sheet'!J16</f>
        <v>45747</v>
      </c>
      <c r="L2" s="22">
        <f>'Data Sheet'!K16</f>
        <v>46112</v>
      </c>
      <c r="M2" s="23">
        <f>L2+365</f>
        <v>46477</v>
      </c>
      <c r="N2" s="23">
        <f t="shared" ref="N2:Q2" si="0">M2+365</f>
        <v>46842</v>
      </c>
      <c r="O2" s="23">
        <f t="shared" si="0"/>
        <v>47207</v>
      </c>
      <c r="P2" s="23">
        <f t="shared" si="0"/>
        <v>47572</v>
      </c>
      <c r="Q2" s="23">
        <f t="shared" si="0"/>
        <v>47937</v>
      </c>
    </row>
    <row r="3" spans="2:17" x14ac:dyDescent="0.45">
      <c r="B3" s="149" t="s">
        <v>89</v>
      </c>
      <c r="C3" s="150">
        <f>'Ratios Analysis'!C7</f>
        <v>0.20958180012849717</v>
      </c>
      <c r="D3" s="150">
        <f>'Ratios Analysis'!D7</f>
        <v>0.22729077451008195</v>
      </c>
      <c r="E3" s="150">
        <f>'Ratios Analysis'!E7</f>
        <v>0.18639250075597219</v>
      </c>
      <c r="F3" s="150">
        <f>'Ratios Analysis'!F7</f>
        <v>0.18326706391602693</v>
      </c>
      <c r="G3" s="150">
        <f>'Ratios Analysis'!G7</f>
        <v>0.19331754120550998</v>
      </c>
      <c r="H3" s="150">
        <f>'Ratios Analysis'!H7</f>
        <v>0.1820603250548746</v>
      </c>
      <c r="I3" s="150">
        <f>'Ratios Analysis'!I7</f>
        <v>0.16426035825492105</v>
      </c>
      <c r="J3" s="150">
        <f>'Ratios Analysis'!J7</f>
        <v>0.17080757467300059</v>
      </c>
      <c r="K3" s="150">
        <f>'Ratios Analysis'!K7</f>
        <v>0.16412049819007302</v>
      </c>
      <c r="L3" s="150">
        <f>'Ratios Analysis'!L7</f>
        <v>0.16498180800447804</v>
      </c>
      <c r="M3" s="151">
        <f>'Ratios Analysis'!M7</f>
        <v>0.18784914684126658</v>
      </c>
      <c r="N3" s="151">
        <f>'Ratios Analysis'!N7</f>
        <v>0.18708323761747836</v>
      </c>
      <c r="O3" s="151">
        <f>'Ratios Analysis'!O7</f>
        <v>0.18460525154764354</v>
      </c>
      <c r="P3" s="151">
        <f>'Ratios Analysis'!P7</f>
        <v>0.18531028490256291</v>
      </c>
      <c r="Q3" s="152">
        <f>'Ratios Analysis'!Q7</f>
        <v>0.18544177090552241</v>
      </c>
    </row>
    <row r="4" spans="2:17" x14ac:dyDescent="0.45">
      <c r="B4" s="153" t="s">
        <v>164</v>
      </c>
      <c r="C4" s="154">
        <f>'Historical Financial Statement'!C23/'Historical Financial Statement'!C19</f>
        <v>0.71941256077389604</v>
      </c>
      <c r="D4" s="154">
        <f>'Historical Financial Statement'!D23/'Historical Financial Statement'!D19</f>
        <v>0.7907745436605822</v>
      </c>
      <c r="E4" s="154">
        <f>'Historical Financial Statement'!E23/'Historical Financial Statement'!E19</f>
        <v>0.73237963975096243</v>
      </c>
      <c r="F4" s="154">
        <f>'Historical Financial Statement'!F23/'Historical Financial Statement'!F19</f>
        <v>0.75607761166901444</v>
      </c>
      <c r="G4" s="154">
        <f>'Historical Financial Statement'!G23/'Historical Financial Statement'!G19</f>
        <v>0.72942015923088477</v>
      </c>
      <c r="H4" s="154">
        <f>'Historical Financial Statement'!H23/'Historical Financial Statement'!H19</f>
        <v>0.73550315509797415</v>
      </c>
      <c r="I4" s="154">
        <f>'Historical Financial Statement'!I23/'Historical Financial Statement'!I19</f>
        <v>0.72348598523497987</v>
      </c>
      <c r="J4" s="154">
        <f>'Historical Financial Statement'!J23/'Historical Financial Statement'!J19</f>
        <v>0.72935422918750692</v>
      </c>
      <c r="K4" s="154">
        <f>'Historical Financial Statement'!K23/'Historical Financial Statement'!K19</f>
        <v>0.71128483301425227</v>
      </c>
      <c r="L4" s="154">
        <f>'Historical Financial Statement'!L23/'Historical Financial Statement'!L19</f>
        <v>0.73694211776472063</v>
      </c>
      <c r="M4" s="155">
        <f>'Historical Financial Statement'!M23/'Historical Financial Statement'!M19</f>
        <v>0.73646348353847735</v>
      </c>
      <c r="N4" s="155">
        <f>'Historical Financial Statement'!N23/'Historical Financial Statement'!N19</f>
        <v>0.73816857581493556</v>
      </c>
      <c r="O4" s="155">
        <f>'Historical Financial Statement'!O23/'Historical Financial Statement'!O19</f>
        <v>0.73290797903037086</v>
      </c>
      <c r="P4" s="155">
        <f>'Historical Financial Statement'!P23/'Historical Financial Statement'!P19</f>
        <v>0.73296081295831161</v>
      </c>
      <c r="Q4" s="156">
        <f>'Historical Financial Statement'!Q23/'Historical Financial Statement'!Q19</f>
        <v>0.73064913308724144</v>
      </c>
    </row>
    <row r="5" spans="2:17" x14ac:dyDescent="0.45">
      <c r="B5" s="153" t="s">
        <v>165</v>
      </c>
      <c r="C5" s="154">
        <f>'Historical Financial Statement'!C19/'Historical Financial Statement'!C14</f>
        <v>1.1804626945151175</v>
      </c>
      <c r="D5" s="154">
        <f>'Historical Financial Statement'!D19/'Historical Financial Statement'!D14</f>
        <v>1.1952355681349136</v>
      </c>
      <c r="E5" s="154">
        <f>'Historical Financial Statement'!E19/'Historical Financial Statement'!E14</f>
        <v>1.1587091800209262</v>
      </c>
      <c r="F5" s="154">
        <f>'Historical Financial Statement'!F19/'Historical Financial Statement'!F14</f>
        <v>1.1359037885826366</v>
      </c>
      <c r="G5" s="154">
        <f>'Historical Financial Statement'!G19/'Historical Financial Statement'!G14</f>
        <v>1.0814718544391195</v>
      </c>
      <c r="H5" s="154">
        <f>'Historical Financial Statement'!H19/'Historical Financial Statement'!H14</f>
        <v>1.0747813671247546</v>
      </c>
      <c r="I5" s="154">
        <f>'Historical Financial Statement'!I19/'Historical Financial Statement'!I14</f>
        <v>1.0782074098042389</v>
      </c>
      <c r="J5" s="154">
        <f>'Historical Financial Statement'!J19/'Historical Financial Statement'!J14</f>
        <v>1.1335874255835197</v>
      </c>
      <c r="K5" s="154">
        <f>'Historical Financial Statement'!K19/'Historical Financial Statement'!K14</f>
        <v>1.0924936091099233</v>
      </c>
      <c r="L5" s="154">
        <f>'Historical Financial Statement'!L19/'Historical Financial Statement'!L14</f>
        <v>1.0700144470009096</v>
      </c>
      <c r="M5" s="155">
        <f>'Historical Financial Statement'!M19/'Historical Financial Statement'!M14</f>
        <v>1.1195110587353669</v>
      </c>
      <c r="N5" s="155">
        <f>'Historical Financial Statement'!N19/'Historical Financial Statement'!N14</f>
        <v>1.1125426258211348</v>
      </c>
      <c r="O5" s="155">
        <f>'Historical Financial Statement'!O19/'Historical Financial Statement'!O14</f>
        <v>1.1036013500819271</v>
      </c>
      <c r="P5" s="155">
        <f>'Historical Financial Statement'!P19/'Historical Financial Statement'!P14</f>
        <v>1.0984653927605554</v>
      </c>
      <c r="Q5" s="156">
        <f>'Historical Financial Statement'!Q19/'Historical Financial Statement'!Q14</f>
        <v>1.0953678614058053</v>
      </c>
    </row>
    <row r="6" spans="2:17" x14ac:dyDescent="0.45">
      <c r="B6" s="153" t="s">
        <v>168</v>
      </c>
      <c r="C6" s="157">
        <f>'Ratios Analysis'!C6</f>
        <v>0.24678757081946148</v>
      </c>
      <c r="D6" s="157">
        <f>'Ratios Analysis'!D6</f>
        <v>0.24047814866282863</v>
      </c>
      <c r="E6" s="157">
        <f>'Ratios Analysis'!E6</f>
        <v>0.2196431811309344</v>
      </c>
      <c r="F6" s="157">
        <f>'Ratios Analysis'!F6</f>
        <v>0.21339119516251612</v>
      </c>
      <c r="G6" s="157">
        <f>'Ratios Analysis'!G6</f>
        <v>0.24506330121824987</v>
      </c>
      <c r="H6" s="157">
        <f>'Ratios Analysis'!H6</f>
        <v>0.23030885967724699</v>
      </c>
      <c r="I6" s="157">
        <f>'Ratios Analysis'!I6</f>
        <v>0.21057185879659596</v>
      </c>
      <c r="J6" s="157">
        <f>'Ratios Analysis'!J6</f>
        <v>0.20659204789483959</v>
      </c>
      <c r="K6" s="157">
        <f>'Ratios Analysis'!K6</f>
        <v>0.21120314129701209</v>
      </c>
      <c r="L6" s="157">
        <f>'Ratios Analysis'!L6</f>
        <v>0.20922474111390987</v>
      </c>
      <c r="M6" s="158">
        <f>'Ratios Analysis'!M6</f>
        <v>0.22783981594605465</v>
      </c>
      <c r="N6" s="158">
        <f>'Ratios Analysis'!N6</f>
        <v>0.22780469182559338</v>
      </c>
      <c r="O6" s="158">
        <f>'Ratios Analysis'!O6</f>
        <v>0.228235070409151</v>
      </c>
      <c r="P6" s="158">
        <f>'Ratios Analysis'!P6</f>
        <v>0.23016134598187618</v>
      </c>
      <c r="Q6" s="159">
        <f>'Ratios Analysis'!Q6</f>
        <v>0.23170675671934252</v>
      </c>
    </row>
    <row r="7" spans="2:17" x14ac:dyDescent="0.45">
      <c r="B7" s="153" t="s">
        <v>166</v>
      </c>
      <c r="C7" s="154">
        <f>'Ratios Analysis'!C19</f>
        <v>0.82363977485928708</v>
      </c>
      <c r="D7" s="154">
        <f>'Ratios Analysis'!D19</f>
        <v>0.88875726222132601</v>
      </c>
      <c r="E7" s="154">
        <f>'Ratios Analysis'!E19</f>
        <v>0.98345347702995267</v>
      </c>
      <c r="F7" s="154">
        <f>'Ratios Analysis'!F19</f>
        <v>0.98900871459694994</v>
      </c>
      <c r="G7" s="154">
        <f>'Ratios Analysis'!G19</f>
        <v>0.9345276297309113</v>
      </c>
      <c r="H7" s="154">
        <f>'Ratios Analysis'!H19</f>
        <v>1.0420803742000702</v>
      </c>
      <c r="I7" s="154">
        <f>'Ratios Analysis'!I19</f>
        <v>1.1779431121384314</v>
      </c>
      <c r="J7" s="154">
        <f>'Ratios Analysis'!J19</f>
        <v>1.1297603293633289</v>
      </c>
      <c r="K7" s="154">
        <f>'Ratios Analysis'!K19</f>
        <v>1.1028113264995434</v>
      </c>
      <c r="L7" s="154">
        <f>'Ratios Analysis'!L19</f>
        <v>1.1578995125998133</v>
      </c>
      <c r="M7" s="155">
        <f>'Ratios Analysis'!M19</f>
        <v>1.1801093587817597</v>
      </c>
      <c r="N7" s="155">
        <f>'Ratios Analysis'!N19</f>
        <v>1.1482689627518088</v>
      </c>
      <c r="O7" s="155">
        <f>'Ratios Analysis'!O19</f>
        <v>1.1239544740988145</v>
      </c>
      <c r="P7" s="155">
        <f>'Ratios Analysis'!P19</f>
        <v>1.0985024233150831</v>
      </c>
      <c r="Q7" s="156">
        <f>'Ratios Analysis'!Q19</f>
        <v>1.0770442419908408</v>
      </c>
    </row>
    <row r="8" spans="2:17" ht="14.65" thickBot="1" x14ac:dyDescent="0.5">
      <c r="B8" s="148" t="s">
        <v>167</v>
      </c>
      <c r="C8" s="160">
        <f>'Historical Financial Statement'!C60/SUM('Historical Financial Statement'!C29:C30)</f>
        <v>1.2053579194572497</v>
      </c>
      <c r="D8" s="160">
        <f>'Historical Financial Statement'!D60/SUM('Historical Financial Statement'!D29:D30)</f>
        <v>1.2222016850730866</v>
      </c>
      <c r="E8" s="160">
        <f>'Historical Financial Statement'!E60/SUM('Historical Financial Statement'!E29:E30)</f>
        <v>1.2943585637740962</v>
      </c>
      <c r="F8" s="160">
        <f>'Historical Financial Statement'!F60/SUM('Historical Financial Statement'!F29:F30)</f>
        <v>1.4025974025974026</v>
      </c>
      <c r="G8" s="160">
        <f>'Historical Financial Statement'!G60/SUM('Historical Financial Statement'!G29:G30)</f>
        <v>1.408115152388312</v>
      </c>
      <c r="H8" s="160">
        <f>'Historical Financial Statement'!H60/SUM('Historical Financial Statement'!H29:H30)</f>
        <v>1.5491572660915727</v>
      </c>
      <c r="I8" s="160">
        <f>'Historical Financial Statement'!I60/SUM('Historical Financial Statement'!I29:I30)</f>
        <v>1.6523134457013275</v>
      </c>
      <c r="J8" s="160">
        <f>'Historical Financial Statement'!J60/SUM('Historical Financial Statement'!J29:J30)</f>
        <v>1.5436470107585456</v>
      </c>
      <c r="K8" s="160">
        <f>'Historical Financial Statement'!K60/SUM('Historical Financial Statement'!K29:K30)</f>
        <v>1.5424554885303388</v>
      </c>
      <c r="L8" s="160">
        <f>'Historical Financial Statement'!L60/SUM('Historical Financial Statement'!L29:L30)</f>
        <v>1.6616551070520829</v>
      </c>
      <c r="M8" s="161">
        <f>'Historical Financial Statement'!M60/SUM('Historical Financial Statement'!M29:M30)</f>
        <v>1.5468697492441887</v>
      </c>
      <c r="N8" s="161">
        <f>'Historical Financial Statement'!N60/SUM('Historical Financial Statement'!N29:N30)</f>
        <v>1.5255718838246204</v>
      </c>
      <c r="O8" s="161">
        <f>'Historical Financial Statement'!O60/SUM('Historical Financial Statement'!O29:O30)</f>
        <v>1.5126635952354139</v>
      </c>
      <c r="P8" s="161">
        <f>'Historical Financial Statement'!P60/SUM('Historical Financial Statement'!P29:P30)</f>
        <v>1.4945162050347416</v>
      </c>
      <c r="Q8" s="162">
        <f>'Historical Financial Statement'!Q60/SUM('Historical Financial Statement'!Q29:Q30)</f>
        <v>1.4790119069581842</v>
      </c>
    </row>
    <row r="10" spans="2:17" ht="16.149999999999999" thickBot="1" x14ac:dyDescent="0.55000000000000004">
      <c r="B10" s="261" t="s">
        <v>169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</row>
    <row r="11" spans="2:17" ht="14.65" thickBot="1" x14ac:dyDescent="0.5">
      <c r="B11" s="163" t="s">
        <v>133</v>
      </c>
      <c r="C11" s="164">
        <f>C3*C7*C8</f>
        <v>0.20806877156359629</v>
      </c>
      <c r="D11" s="164">
        <f t="shared" ref="D11:Q11" si="1">D3*D7*D8</f>
        <v>0.24689247262141303</v>
      </c>
      <c r="E11" s="164">
        <f t="shared" si="1"/>
        <v>0.23726673646609597</v>
      </c>
      <c r="F11" s="164">
        <f t="shared" si="1"/>
        <v>0.25422459893048127</v>
      </c>
      <c r="G11" s="164">
        <f t="shared" si="1"/>
        <v>0.25439090516168744</v>
      </c>
      <c r="H11" s="164">
        <f t="shared" si="1"/>
        <v>0.29390842733908429</v>
      </c>
      <c r="I11" s="164">
        <f t="shared" si="1"/>
        <v>0.31970506716883046</v>
      </c>
      <c r="J11" s="164">
        <f t="shared" si="1"/>
        <v>0.29788006718416632</v>
      </c>
      <c r="K11" s="164">
        <f t="shared" si="1"/>
        <v>0.27917510279905661</v>
      </c>
      <c r="L11" s="164">
        <f t="shared" si="1"/>
        <v>0.31742988842458969</v>
      </c>
      <c r="M11" s="165">
        <f t="shared" si="1"/>
        <v>0.34291400922457571</v>
      </c>
      <c r="N11" s="165">
        <f t="shared" si="1"/>
        <v>0.32772621284669556</v>
      </c>
      <c r="O11" s="165">
        <f t="shared" si="1"/>
        <v>0.31385939039049288</v>
      </c>
      <c r="P11" s="165">
        <f t="shared" si="1"/>
        <v>0.30422939342074501</v>
      </c>
      <c r="Q11" s="166">
        <f t="shared" si="1"/>
        <v>0.29540155670917129</v>
      </c>
    </row>
    <row r="13" spans="2:17" ht="16.149999999999999" thickBot="1" x14ac:dyDescent="0.55000000000000004">
      <c r="B13" s="261" t="s">
        <v>170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</row>
    <row r="14" spans="2:17" ht="14.65" thickBot="1" x14ac:dyDescent="0.5">
      <c r="B14" s="163" t="s">
        <v>133</v>
      </c>
      <c r="C14" s="164">
        <f>C4*C5*C6*C7*C8</f>
        <v>0.20806877156359632</v>
      </c>
      <c r="D14" s="164">
        <f t="shared" ref="D14:Q14" si="2">D4*D5*D6*D7*D8</f>
        <v>0.24689247262141306</v>
      </c>
      <c r="E14" s="164">
        <f t="shared" si="2"/>
        <v>0.23726673646609597</v>
      </c>
      <c r="F14" s="164">
        <f t="shared" si="2"/>
        <v>0.25422459893048133</v>
      </c>
      <c r="G14" s="164">
        <f t="shared" si="2"/>
        <v>0.2543909051616875</v>
      </c>
      <c r="H14" s="164">
        <f t="shared" si="2"/>
        <v>0.29390842733908429</v>
      </c>
      <c r="I14" s="164">
        <f t="shared" si="2"/>
        <v>0.31970506716883051</v>
      </c>
      <c r="J14" s="164">
        <f t="shared" si="2"/>
        <v>0.29788006718416632</v>
      </c>
      <c r="K14" s="164">
        <f t="shared" si="2"/>
        <v>0.27917510279905661</v>
      </c>
      <c r="L14" s="164">
        <f t="shared" si="2"/>
        <v>0.31742988842458969</v>
      </c>
      <c r="M14" s="165">
        <f t="shared" si="2"/>
        <v>0.34291400922457571</v>
      </c>
      <c r="N14" s="165">
        <f t="shared" si="2"/>
        <v>0.32772621284669551</v>
      </c>
      <c r="O14" s="165">
        <f t="shared" si="2"/>
        <v>0.31385939039049293</v>
      </c>
      <c r="P14" s="165">
        <f t="shared" si="2"/>
        <v>0.30422939342074501</v>
      </c>
      <c r="Q14" s="166">
        <f t="shared" si="2"/>
        <v>0.29540155670917129</v>
      </c>
    </row>
  </sheetData>
  <mergeCells count="3">
    <mergeCell ref="B1:Q1"/>
    <mergeCell ref="B10:Q10"/>
    <mergeCell ref="B13:Q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043B-E7D9-4DB4-A911-11D1F33F0CC2}">
  <dimension ref="B1:Q525"/>
  <sheetViews>
    <sheetView showGridLines="0" workbookViewId="0">
      <selection activeCell="R10" sqref="R10"/>
    </sheetView>
  </sheetViews>
  <sheetFormatPr defaultRowHeight="14.25" x14ac:dyDescent="0.45"/>
  <cols>
    <col min="1" max="1" width="1.796875" customWidth="1"/>
    <col min="2" max="2" width="10.19921875" bestFit="1" customWidth="1"/>
    <col min="9" max="9" width="35.73046875" bestFit="1" customWidth="1"/>
    <col min="11" max="11" width="35.59765625" bestFit="1" customWidth="1"/>
  </cols>
  <sheetData>
    <row r="1" spans="2:17" ht="15.75" x14ac:dyDescent="0.5">
      <c r="B1" s="261" t="str">
        <f>"BETA Calculation for "&amp;'Data Sheet'!B1</f>
        <v>BETA Calculation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193"/>
      <c r="N1" s="193"/>
      <c r="O1" s="193"/>
      <c r="P1" s="193"/>
      <c r="Q1" s="193"/>
    </row>
    <row r="2" spans="2:17" ht="15.75" x14ac:dyDescent="0.5">
      <c r="B2" s="264" t="s">
        <v>184</v>
      </c>
      <c r="C2" s="264"/>
      <c r="D2" s="264"/>
      <c r="E2" s="191"/>
      <c r="F2" s="264" t="s">
        <v>518</v>
      </c>
      <c r="G2" s="264"/>
    </row>
    <row r="3" spans="2:17" x14ac:dyDescent="0.45">
      <c r="B3" s="190" t="s">
        <v>516</v>
      </c>
      <c r="C3" s="192" t="s">
        <v>515</v>
      </c>
      <c r="D3" s="192" t="s">
        <v>514</v>
      </c>
      <c r="E3" s="192"/>
      <c r="F3" s="192" t="s">
        <v>515</v>
      </c>
      <c r="G3" s="192" t="s">
        <v>514</v>
      </c>
      <c r="I3" s="265"/>
      <c r="J3" s="265"/>
    </row>
    <row r="4" spans="2:17" x14ac:dyDescent="0.45">
      <c r="B4" t="s">
        <v>513</v>
      </c>
      <c r="C4" s="256">
        <v>1153.8</v>
      </c>
      <c r="D4" s="123">
        <f t="shared" ref="D4:D67" si="0">IFERROR((C4/C5)-1,0)</f>
        <v>-6.3727178780572658E-3</v>
      </c>
      <c r="E4" s="15"/>
      <c r="F4" s="256">
        <v>21696.55</v>
      </c>
      <c r="G4" s="123">
        <f t="shared" ref="G4:G67" si="1">IFERROR((F4/F5)-1,0)</f>
        <v>-2.5752075096373783E-2</v>
      </c>
      <c r="I4" s="194" t="s">
        <v>517</v>
      </c>
      <c r="J4" s="195">
        <f>CORREL(D4:D525,G4:G525)</f>
        <v>0.40394328989545369</v>
      </c>
      <c r="K4" s="194" t="s">
        <v>524</v>
      </c>
      <c r="L4" s="12">
        <f>_xlfn.COVARIANCE.S(D4:D525,G4:G525)</f>
        <v>3.2215850654134887E-4</v>
      </c>
    </row>
    <row r="5" spans="2:17" x14ac:dyDescent="0.45">
      <c r="B5" s="189">
        <v>46336</v>
      </c>
      <c r="C5" s="256">
        <v>1161.2</v>
      </c>
      <c r="D5" s="123">
        <f t="shared" si="0"/>
        <v>0.13464920852061768</v>
      </c>
      <c r="E5" s="15"/>
      <c r="F5" s="256">
        <v>22270.05</v>
      </c>
      <c r="G5" s="123">
        <f t="shared" si="1"/>
        <v>1.844818479282373E-2</v>
      </c>
      <c r="I5" s="194" t="s">
        <v>519</v>
      </c>
      <c r="J5" s="195">
        <f>_xlfn.STDEV.S(D4:D525)</f>
        <v>3.661319787923719E-2</v>
      </c>
      <c r="K5" s="194" t="s">
        <v>525</v>
      </c>
      <c r="L5" s="12">
        <f>_xlfn.VAR.S(G4:G525)</f>
        <v>4.7448565224756447E-4</v>
      </c>
    </row>
    <row r="6" spans="2:17" x14ac:dyDescent="0.45">
      <c r="B6" s="189">
        <v>46122</v>
      </c>
      <c r="C6" s="256">
        <v>1023.4</v>
      </c>
      <c r="D6" s="123">
        <f t="shared" si="0"/>
        <v>-1.1207729468599048E-2</v>
      </c>
      <c r="E6" s="15"/>
      <c r="F6" s="256">
        <v>21866.65</v>
      </c>
      <c r="G6" s="123">
        <f t="shared" si="1"/>
        <v>4.0717823197722325E-4</v>
      </c>
      <c r="I6" s="194" t="s">
        <v>520</v>
      </c>
      <c r="J6" s="195">
        <f>_xlfn.STDEV.S(G4:G525)</f>
        <v>2.178269157490792E-2</v>
      </c>
    </row>
    <row r="7" spans="2:17" x14ac:dyDescent="0.45">
      <c r="B7" t="s">
        <v>512</v>
      </c>
      <c r="C7" s="256">
        <v>1035</v>
      </c>
      <c r="D7" s="123">
        <f t="shared" si="0"/>
        <v>3.479304139172168E-2</v>
      </c>
      <c r="E7" s="15"/>
      <c r="F7" s="256">
        <v>21857.75</v>
      </c>
      <c r="G7" s="123">
        <f t="shared" si="1"/>
        <v>-3.2992678125069119E-2</v>
      </c>
    </row>
    <row r="8" spans="2:17" ht="15.75" x14ac:dyDescent="0.5">
      <c r="B8" t="s">
        <v>511</v>
      </c>
      <c r="C8" s="256">
        <v>1000.2</v>
      </c>
      <c r="D8" s="123">
        <f t="shared" si="0"/>
        <v>-4.8696975461289704E-2</v>
      </c>
      <c r="E8" s="15"/>
      <c r="F8" s="256">
        <v>22603.5</v>
      </c>
      <c r="G8" s="123">
        <f t="shared" si="1"/>
        <v>-1.037847162174288E-2</v>
      </c>
      <c r="I8" s="235" t="s">
        <v>521</v>
      </c>
      <c r="J8" s="236">
        <f>J4*(J5/J6)</f>
        <v>0.67896364203076398</v>
      </c>
    </row>
    <row r="9" spans="2:17" x14ac:dyDescent="0.45">
      <c r="B9" t="s">
        <v>510</v>
      </c>
      <c r="C9" s="256">
        <v>1051.4000000000001</v>
      </c>
      <c r="D9" s="123">
        <f t="shared" si="0"/>
        <v>1.3202274260383673E-2</v>
      </c>
      <c r="E9" s="15"/>
      <c r="F9" s="256">
        <v>22840.55</v>
      </c>
      <c r="G9" s="123">
        <f t="shared" si="1"/>
        <v>-1.1348479216320984E-3</v>
      </c>
      <c r="I9" s="233" t="s">
        <v>522</v>
      </c>
      <c r="J9" s="234">
        <f>J8/(1+('DCF Model'!C4/'DCF Model'!C3)*(1-'DCF Model'!C9))</f>
        <v>0.67000398095214886</v>
      </c>
    </row>
    <row r="10" spans="2:17" x14ac:dyDescent="0.45">
      <c r="B10" s="189">
        <v>46182</v>
      </c>
      <c r="C10" s="256">
        <v>1037.7</v>
      </c>
      <c r="D10" s="123">
        <f t="shared" si="0"/>
        <v>-8.1681415929203527E-2</v>
      </c>
      <c r="E10" s="15"/>
      <c r="F10" s="256">
        <v>22866.5</v>
      </c>
      <c r="G10" s="123">
        <f t="shared" si="1"/>
        <v>-1.6670142748713701E-2</v>
      </c>
      <c r="K10" s="169"/>
    </row>
    <row r="11" spans="2:17" ht="15.75" x14ac:dyDescent="0.5">
      <c r="B11" t="s">
        <v>509</v>
      </c>
      <c r="C11" s="256">
        <v>1130</v>
      </c>
      <c r="D11" s="123">
        <f t="shared" si="0"/>
        <v>-1.2237762237762184E-2</v>
      </c>
      <c r="E11" s="15"/>
      <c r="F11" s="256">
        <v>23254.15</v>
      </c>
      <c r="G11" s="123">
        <f t="shared" si="1"/>
        <v>-1.166242713639376E-2</v>
      </c>
      <c r="I11" s="235" t="s">
        <v>523</v>
      </c>
      <c r="J11" s="236">
        <f>L4/L5</f>
        <v>0.67896364203076387</v>
      </c>
    </row>
    <row r="12" spans="2:17" x14ac:dyDescent="0.45">
      <c r="B12" t="s">
        <v>508</v>
      </c>
      <c r="C12" s="256">
        <v>1144</v>
      </c>
      <c r="D12" s="123">
        <f t="shared" si="0"/>
        <v>2.0517395182872544E-2</v>
      </c>
      <c r="E12" s="15"/>
      <c r="F12" s="256">
        <v>23528.55</v>
      </c>
      <c r="G12" s="123">
        <f t="shared" si="1"/>
        <v>-7.437219244976756E-5</v>
      </c>
    </row>
    <row r="13" spans="2:17" x14ac:dyDescent="0.45">
      <c r="B13" t="s">
        <v>507</v>
      </c>
      <c r="C13" s="256">
        <v>1121</v>
      </c>
      <c r="D13" s="123">
        <f t="shared" si="0"/>
        <v>-4.1224769072870426E-2</v>
      </c>
      <c r="E13" s="15"/>
      <c r="F13" s="256">
        <v>23530.3</v>
      </c>
      <c r="G13" s="123">
        <f t="shared" si="1"/>
        <v>-2.7378797960576629E-3</v>
      </c>
    </row>
    <row r="14" spans="2:17" x14ac:dyDescent="0.45">
      <c r="B14" s="189">
        <v>46273</v>
      </c>
      <c r="C14" s="256">
        <v>1169.2</v>
      </c>
      <c r="D14" s="123">
        <f t="shared" si="0"/>
        <v>-5.0208492894220358E-3</v>
      </c>
      <c r="E14" s="15"/>
      <c r="F14" s="256">
        <v>23594.9</v>
      </c>
      <c r="G14" s="123">
        <f t="shared" si="1"/>
        <v>-4.9426242298235001E-3</v>
      </c>
    </row>
    <row r="15" spans="2:17" x14ac:dyDescent="0.45">
      <c r="B15" s="189">
        <v>46061</v>
      </c>
      <c r="C15" s="256">
        <v>1175.0999999999999</v>
      </c>
      <c r="D15" s="123">
        <f t="shared" si="0"/>
        <v>3.981948500132737E-2</v>
      </c>
      <c r="E15" s="15"/>
      <c r="F15" s="256">
        <v>23712.1</v>
      </c>
      <c r="G15" s="123">
        <f t="shared" si="1"/>
        <v>1.0715792793906331E-2</v>
      </c>
    </row>
    <row r="16" spans="2:17" x14ac:dyDescent="0.45">
      <c r="B16" t="s">
        <v>506</v>
      </c>
      <c r="C16" s="256">
        <v>1130.0999999999999</v>
      </c>
      <c r="D16" s="123">
        <f t="shared" si="0"/>
        <v>8.5695071572677417E-2</v>
      </c>
      <c r="E16" s="15"/>
      <c r="F16" s="256">
        <v>23460.7</v>
      </c>
      <c r="G16" s="123">
        <f t="shared" si="1"/>
        <v>2.3890055120824982E-2</v>
      </c>
    </row>
    <row r="17" spans="2:7" x14ac:dyDescent="0.45">
      <c r="B17" t="s">
        <v>505</v>
      </c>
      <c r="C17" s="256">
        <v>1040.9000000000001</v>
      </c>
      <c r="D17" s="123">
        <f t="shared" si="0"/>
        <v>-5.0706794345645179E-2</v>
      </c>
      <c r="E17" s="15"/>
      <c r="F17" s="256">
        <v>22913.3</v>
      </c>
      <c r="G17" s="123">
        <f t="shared" si="1"/>
        <v>-1.8126266803220714E-2</v>
      </c>
    </row>
    <row r="18" spans="2:7" x14ac:dyDescent="0.45">
      <c r="B18" s="189">
        <v>46363</v>
      </c>
      <c r="C18" s="256">
        <v>1096.5</v>
      </c>
      <c r="D18" s="123">
        <f t="shared" si="0"/>
        <v>2.6685393258427004E-2</v>
      </c>
      <c r="E18" s="15"/>
      <c r="F18" s="256">
        <v>23336.3</v>
      </c>
      <c r="G18" s="123">
        <f t="shared" si="1"/>
        <v>-5.1823679566920244E-4</v>
      </c>
    </row>
    <row r="19" spans="2:7" x14ac:dyDescent="0.45">
      <c r="B19" s="189">
        <v>46149</v>
      </c>
      <c r="C19" s="256">
        <v>1068</v>
      </c>
      <c r="D19" s="123">
        <f t="shared" si="0"/>
        <v>1.9862490450725634E-2</v>
      </c>
      <c r="E19" s="15"/>
      <c r="F19" s="256">
        <v>23348.400000000001</v>
      </c>
      <c r="G19" s="123">
        <f t="shared" si="1"/>
        <v>2.0277969113111638E-3</v>
      </c>
    </row>
    <row r="20" spans="2:7" x14ac:dyDescent="0.45">
      <c r="B20" t="s">
        <v>504</v>
      </c>
      <c r="C20" s="256">
        <v>1047.2</v>
      </c>
      <c r="D20" s="123">
        <f t="shared" si="0"/>
        <v>5.7625816365731719E-3</v>
      </c>
      <c r="E20" s="15"/>
      <c r="F20" s="256">
        <v>23301.15</v>
      </c>
      <c r="G20" s="123">
        <f t="shared" si="1"/>
        <v>8.1099088419422927E-3</v>
      </c>
    </row>
    <row r="21" spans="2:7" x14ac:dyDescent="0.45">
      <c r="B21" t="s">
        <v>503</v>
      </c>
      <c r="C21" s="256">
        <v>1041.2</v>
      </c>
      <c r="D21" s="123">
        <f t="shared" si="0"/>
        <v>-9.7013505801788469E-3</v>
      </c>
      <c r="E21" s="15"/>
      <c r="F21" s="256">
        <v>23113.7</v>
      </c>
      <c r="G21" s="123">
        <f t="shared" si="1"/>
        <v>-1.3178247681924216E-3</v>
      </c>
    </row>
    <row r="22" spans="2:7" x14ac:dyDescent="0.45">
      <c r="B22" t="s">
        <v>502</v>
      </c>
      <c r="C22" s="256">
        <v>1051.4000000000001</v>
      </c>
      <c r="D22" s="123">
        <f t="shared" si="0"/>
        <v>-5.8222859190254383E-2</v>
      </c>
      <c r="E22" s="15"/>
      <c r="F22" s="256">
        <v>23144.2</v>
      </c>
      <c r="G22" s="123">
        <f t="shared" si="1"/>
        <v>2.408870874963509E-2</v>
      </c>
    </row>
    <row r="23" spans="2:7" x14ac:dyDescent="0.45">
      <c r="B23" s="189">
        <v>46209</v>
      </c>
      <c r="C23" s="256">
        <v>1116.4000000000001</v>
      </c>
      <c r="D23" s="123">
        <f t="shared" si="0"/>
        <v>-6.7724425887265016E-2</v>
      </c>
      <c r="E23" s="15"/>
      <c r="F23" s="256">
        <v>22599.8</v>
      </c>
      <c r="G23" s="123">
        <f t="shared" si="1"/>
        <v>5.9847721045966917E-3</v>
      </c>
    </row>
    <row r="24" spans="2:7" x14ac:dyDescent="0.45">
      <c r="B24" t="s">
        <v>501</v>
      </c>
      <c r="C24" s="256">
        <v>1197.5</v>
      </c>
      <c r="D24" s="123">
        <f t="shared" si="0"/>
        <v>3.1527263330174859E-2</v>
      </c>
      <c r="E24" s="15"/>
      <c r="F24" s="256">
        <v>22465.35</v>
      </c>
      <c r="G24" s="123">
        <f t="shared" si="1"/>
        <v>-8.4587544688176086E-3</v>
      </c>
    </row>
    <row r="25" spans="2:7" x14ac:dyDescent="0.45">
      <c r="B25" t="s">
        <v>500</v>
      </c>
      <c r="C25" s="256">
        <v>1160.9000000000001</v>
      </c>
      <c r="D25" s="123">
        <f t="shared" si="0"/>
        <v>-1.1579395487441357E-2</v>
      </c>
      <c r="E25" s="15"/>
      <c r="F25" s="256">
        <v>22657</v>
      </c>
      <c r="G25" s="123">
        <f t="shared" si="1"/>
        <v>2.5164118615705888E-4</v>
      </c>
    </row>
    <row r="26" spans="2:7" x14ac:dyDescent="0.45">
      <c r="B26" t="s">
        <v>499</v>
      </c>
      <c r="C26" s="256">
        <v>1174.5</v>
      </c>
      <c r="D26" s="123">
        <f t="shared" si="0"/>
        <v>4.959785522788196E-2</v>
      </c>
      <c r="E26" s="15"/>
      <c r="F26" s="256">
        <v>22651.3</v>
      </c>
      <c r="G26" s="123">
        <f t="shared" si="1"/>
        <v>5.3326172876217992E-3</v>
      </c>
    </row>
    <row r="27" spans="2:7" x14ac:dyDescent="0.45">
      <c r="B27" s="189">
        <v>46300</v>
      </c>
      <c r="C27" s="256">
        <v>1119</v>
      </c>
      <c r="D27" s="123">
        <f t="shared" si="0"/>
        <v>-5.1051560379918648E-2</v>
      </c>
      <c r="E27" s="15"/>
      <c r="F27" s="256">
        <v>22531.15</v>
      </c>
      <c r="G27" s="123">
        <f t="shared" si="1"/>
        <v>-2.5285899379857368E-2</v>
      </c>
    </row>
    <row r="28" spans="2:7" x14ac:dyDescent="0.45">
      <c r="B28" s="189">
        <v>46086</v>
      </c>
      <c r="C28" s="256">
        <v>1179.2</v>
      </c>
      <c r="D28" s="123">
        <f t="shared" si="0"/>
        <v>-2.2000338466744429E-3</v>
      </c>
      <c r="E28" s="15"/>
      <c r="F28" s="256">
        <v>23115.65</v>
      </c>
      <c r="G28" s="123">
        <f t="shared" si="1"/>
        <v>1.9049046555764004E-2</v>
      </c>
    </row>
    <row r="29" spans="2:7" x14ac:dyDescent="0.45">
      <c r="B29" t="s">
        <v>498</v>
      </c>
      <c r="C29" s="256">
        <v>1181.8</v>
      </c>
      <c r="D29" s="123">
        <f t="shared" si="0"/>
        <v>2.3557942144465605E-2</v>
      </c>
      <c r="E29" s="15"/>
      <c r="F29" s="256">
        <v>22683.55</v>
      </c>
      <c r="G29" s="123">
        <f t="shared" si="1"/>
        <v>5.0287881506687615E-3</v>
      </c>
    </row>
    <row r="30" spans="2:7" x14ac:dyDescent="0.45">
      <c r="B30" t="s">
        <v>497</v>
      </c>
      <c r="C30" s="256">
        <v>1154.5999999999999</v>
      </c>
      <c r="D30" s="123">
        <f t="shared" si="0"/>
        <v>-0.12444073708955805</v>
      </c>
      <c r="E30" s="15"/>
      <c r="F30" s="256">
        <v>22570.05</v>
      </c>
      <c r="G30" s="123">
        <f t="shared" si="1"/>
        <v>-1.3089543232441714E-2</v>
      </c>
    </row>
    <row r="31" spans="2:7" x14ac:dyDescent="0.45">
      <c r="B31" s="189">
        <v>46360</v>
      </c>
      <c r="C31" s="256">
        <v>1318.7</v>
      </c>
      <c r="D31" s="123">
        <f t="shared" si="0"/>
        <v>2.0270793036750501E-2</v>
      </c>
      <c r="E31" s="15"/>
      <c r="F31" s="256">
        <v>22869.4</v>
      </c>
      <c r="G31" s="123">
        <f t="shared" si="1"/>
        <v>2.3388188439034785E-2</v>
      </c>
    </row>
    <row r="32" spans="2:7" x14ac:dyDescent="0.45">
      <c r="B32" s="189">
        <v>46146</v>
      </c>
      <c r="C32" s="256">
        <v>1292.5</v>
      </c>
      <c r="D32" s="123">
        <f t="shared" si="0"/>
        <v>-6.3806888068880241E-3</v>
      </c>
      <c r="E32" s="15"/>
      <c r="F32" s="256">
        <v>22346.75</v>
      </c>
      <c r="G32" s="123">
        <f t="shared" si="1"/>
        <v>6.7264134948551435E-2</v>
      </c>
    </row>
    <row r="33" spans="2:7" x14ac:dyDescent="0.45">
      <c r="B33" t="s">
        <v>496</v>
      </c>
      <c r="C33" s="256">
        <v>1300.8</v>
      </c>
      <c r="D33" s="123">
        <f t="shared" si="0"/>
        <v>2.4493974954713726E-2</v>
      </c>
      <c r="E33" s="15"/>
      <c r="F33" s="256">
        <v>20938.349999999999</v>
      </c>
      <c r="G33" s="123">
        <f t="shared" si="1"/>
        <v>-3.8915041043952048E-3</v>
      </c>
    </row>
    <row r="34" spans="2:7" x14ac:dyDescent="0.45">
      <c r="B34" t="s">
        <v>495</v>
      </c>
      <c r="C34" s="256">
        <v>1269.7</v>
      </c>
      <c r="D34" s="123">
        <f t="shared" si="0"/>
        <v>1.098813599808901E-2</v>
      </c>
      <c r="E34" s="15"/>
      <c r="F34" s="256">
        <v>21020.15</v>
      </c>
      <c r="G34" s="123">
        <f t="shared" si="1"/>
        <v>-1.4429456252139206E-2</v>
      </c>
    </row>
    <row r="35" spans="2:7" x14ac:dyDescent="0.45">
      <c r="B35" t="s">
        <v>494</v>
      </c>
      <c r="C35" s="256">
        <v>1255.9000000000001</v>
      </c>
      <c r="D35" s="123">
        <f t="shared" si="0"/>
        <v>6.0882800608828003E-3</v>
      </c>
      <c r="E35" s="15"/>
      <c r="F35" s="256">
        <v>21327.9</v>
      </c>
      <c r="G35" s="123">
        <f t="shared" si="1"/>
        <v>-2.9591607763940209E-3</v>
      </c>
    </row>
    <row r="36" spans="2:7" x14ac:dyDescent="0.45">
      <c r="B36" s="189">
        <v>46237</v>
      </c>
      <c r="C36" s="256">
        <v>1248.3</v>
      </c>
      <c r="D36" s="123">
        <f t="shared" si="0"/>
        <v>-4.5933965148272748E-2</v>
      </c>
      <c r="E36" s="15"/>
      <c r="F36" s="256">
        <v>21391.200000000001</v>
      </c>
      <c r="G36" s="123">
        <f t="shared" si="1"/>
        <v>-4.8489188792463001E-2</v>
      </c>
    </row>
    <row r="37" spans="2:7" x14ac:dyDescent="0.45">
      <c r="B37" s="189">
        <v>46025</v>
      </c>
      <c r="C37" s="256">
        <v>1308.4000000000001</v>
      </c>
      <c r="D37" s="123">
        <f t="shared" si="0"/>
        <v>6.3841242981310664E-3</v>
      </c>
      <c r="E37" s="15"/>
      <c r="F37" s="256">
        <v>22481.3</v>
      </c>
      <c r="G37" s="123">
        <f t="shared" si="1"/>
        <v>-2.9591852150810283E-2</v>
      </c>
    </row>
    <row r="38" spans="2:7" x14ac:dyDescent="0.45">
      <c r="B38" t="s">
        <v>493</v>
      </c>
      <c r="C38" s="256">
        <v>1300.0999999999999</v>
      </c>
      <c r="D38" s="123">
        <f t="shared" si="0"/>
        <v>-3.9240319243275312E-2</v>
      </c>
      <c r="E38" s="15"/>
      <c r="F38" s="256">
        <v>23166.85</v>
      </c>
      <c r="G38" s="123">
        <f t="shared" si="1"/>
        <v>-9.7520837785852743E-3</v>
      </c>
    </row>
    <row r="39" spans="2:7" x14ac:dyDescent="0.45">
      <c r="B39" t="s">
        <v>492</v>
      </c>
      <c r="C39" s="256">
        <v>1353.2</v>
      </c>
      <c r="D39" s="123">
        <f t="shared" si="0"/>
        <v>-1.161346870206692E-2</v>
      </c>
      <c r="E39" s="15"/>
      <c r="F39" s="256">
        <v>23395</v>
      </c>
      <c r="G39" s="123">
        <f t="shared" si="1"/>
        <v>3.5108940662242905E-3</v>
      </c>
    </row>
    <row r="40" spans="2:7" x14ac:dyDescent="0.45">
      <c r="B40" s="189">
        <v>46236</v>
      </c>
      <c r="C40" s="256">
        <v>1369.1</v>
      </c>
      <c r="D40" s="123">
        <f t="shared" si="0"/>
        <v>-9.1566584831796138E-2</v>
      </c>
      <c r="E40" s="15"/>
      <c r="F40" s="256">
        <v>23313.15</v>
      </c>
      <c r="G40" s="123">
        <f t="shared" si="1"/>
        <v>-5.1570367841596854E-3</v>
      </c>
    </row>
    <row r="41" spans="2:7" x14ac:dyDescent="0.45">
      <c r="B41" s="189">
        <v>46024</v>
      </c>
      <c r="C41" s="256">
        <v>1507.1</v>
      </c>
      <c r="D41" s="123">
        <f t="shared" si="0"/>
        <v>-8.1596587446678859E-2</v>
      </c>
      <c r="E41" s="15"/>
      <c r="F41" s="256">
        <v>23434</v>
      </c>
      <c r="G41" s="123">
        <f t="shared" si="1"/>
        <v>1.5359951472085687E-2</v>
      </c>
    </row>
    <row r="42" spans="2:7" x14ac:dyDescent="0.45">
      <c r="B42" t="s">
        <v>491</v>
      </c>
      <c r="C42" s="256">
        <v>1641</v>
      </c>
      <c r="D42" s="123">
        <f t="shared" si="0"/>
        <v>-1.7835767297103122E-2</v>
      </c>
      <c r="E42" s="15"/>
      <c r="F42" s="256">
        <v>23079.5</v>
      </c>
      <c r="G42" s="123">
        <f t="shared" si="1"/>
        <v>1.6440443579286645E-2</v>
      </c>
    </row>
    <row r="43" spans="2:7" x14ac:dyDescent="0.45">
      <c r="B43" t="s">
        <v>490</v>
      </c>
      <c r="C43" s="256">
        <v>1670.8</v>
      </c>
      <c r="D43" s="123">
        <f t="shared" si="0"/>
        <v>-1.1243934193395644E-2</v>
      </c>
      <c r="E43" s="15"/>
      <c r="F43" s="256">
        <v>22706.2</v>
      </c>
      <c r="G43" s="123">
        <f t="shared" si="1"/>
        <v>-3.3173942849356819E-2</v>
      </c>
    </row>
    <row r="44" spans="2:7" x14ac:dyDescent="0.45">
      <c r="B44" s="189">
        <v>46327</v>
      </c>
      <c r="C44" s="256">
        <v>1689.8</v>
      </c>
      <c r="D44" s="123">
        <f t="shared" si="0"/>
        <v>4.6899200793011575E-2</v>
      </c>
      <c r="E44" s="15"/>
      <c r="F44" s="256">
        <v>23485.3</v>
      </c>
      <c r="G44" s="123">
        <f t="shared" si="1"/>
        <v>7.6489249957933936E-4</v>
      </c>
    </row>
    <row r="45" spans="2:7" x14ac:dyDescent="0.45">
      <c r="B45" s="189">
        <v>46113</v>
      </c>
      <c r="C45" s="256">
        <v>1614.1</v>
      </c>
      <c r="D45" s="123">
        <f t="shared" si="0"/>
        <v>-1.6032674957327631E-2</v>
      </c>
      <c r="E45" s="15"/>
      <c r="F45" s="256">
        <v>23467.35</v>
      </c>
      <c r="G45" s="123">
        <f t="shared" si="1"/>
        <v>-2.6210631146520669E-2</v>
      </c>
    </row>
    <row r="46" spans="2:7" x14ac:dyDescent="0.45">
      <c r="B46" t="s">
        <v>489</v>
      </c>
      <c r="C46" s="256">
        <v>1640.4</v>
      </c>
      <c r="D46" s="123">
        <f t="shared" si="0"/>
        <v>-9.4801038584625408E-3</v>
      </c>
      <c r="E46" s="15"/>
      <c r="F46" s="256">
        <v>24099</v>
      </c>
      <c r="G46" s="123">
        <f t="shared" si="1"/>
        <v>1.340398019364808E-2</v>
      </c>
    </row>
    <row r="47" spans="2:7" x14ac:dyDescent="0.45">
      <c r="B47" t="s">
        <v>488</v>
      </c>
      <c r="C47" s="256">
        <v>1656.1</v>
      </c>
      <c r="D47" s="123">
        <f t="shared" si="0"/>
        <v>1.0618172941966098E-2</v>
      </c>
      <c r="E47" s="15"/>
      <c r="F47" s="256">
        <v>23780.25</v>
      </c>
      <c r="G47" s="123">
        <f t="shared" si="1"/>
        <v>4.3374420073023501E-3</v>
      </c>
    </row>
    <row r="48" spans="2:7" x14ac:dyDescent="0.45">
      <c r="B48" t="s">
        <v>487</v>
      </c>
      <c r="C48" s="256">
        <v>1638.7</v>
      </c>
      <c r="D48" s="123">
        <f t="shared" si="0"/>
        <v>2.5341008634714113E-2</v>
      </c>
      <c r="E48" s="15"/>
      <c r="F48" s="256">
        <v>23677.55</v>
      </c>
      <c r="G48" s="123">
        <f t="shared" si="1"/>
        <v>-2.0504758452681848E-3</v>
      </c>
    </row>
    <row r="49" spans="2:7" x14ac:dyDescent="0.45">
      <c r="B49" s="189">
        <v>45850</v>
      </c>
      <c r="C49" s="256">
        <v>1598.2</v>
      </c>
      <c r="D49" s="123">
        <f t="shared" si="0"/>
        <v>-1.1137235490657149E-2</v>
      </c>
      <c r="E49" s="15"/>
      <c r="F49" s="256">
        <v>23726.2</v>
      </c>
      <c r="G49" s="123">
        <f t="shared" si="1"/>
        <v>-4.5751565433548302E-3</v>
      </c>
    </row>
    <row r="50" spans="2:7" x14ac:dyDescent="0.45">
      <c r="B50" t="s">
        <v>486</v>
      </c>
      <c r="C50" s="256">
        <v>1616.2</v>
      </c>
      <c r="D50" s="123">
        <f t="shared" si="0"/>
        <v>3.5959233382475642E-2</v>
      </c>
      <c r="E50" s="15"/>
      <c r="F50" s="256">
        <v>23835.25</v>
      </c>
      <c r="G50" s="123">
        <f t="shared" si="1"/>
        <v>-4.0926411846305966E-3</v>
      </c>
    </row>
    <row r="51" spans="2:7" x14ac:dyDescent="0.45">
      <c r="B51" t="s">
        <v>485</v>
      </c>
      <c r="C51" s="256">
        <v>1560.1</v>
      </c>
      <c r="D51" s="123">
        <f t="shared" si="0"/>
        <v>9.7734627831713716E-3</v>
      </c>
      <c r="E51" s="15"/>
      <c r="F51" s="256">
        <v>23933.200000000001</v>
      </c>
      <c r="G51" s="123">
        <f t="shared" si="1"/>
        <v>6.0087640945345466E-3</v>
      </c>
    </row>
    <row r="52" spans="2:7" x14ac:dyDescent="0.45">
      <c r="B52" t="s">
        <v>484</v>
      </c>
      <c r="C52" s="256">
        <v>1545</v>
      </c>
      <c r="D52" s="123">
        <f t="shared" si="0"/>
        <v>2.8080915624168146E-2</v>
      </c>
      <c r="E52" s="15"/>
      <c r="F52" s="256">
        <v>23790.25</v>
      </c>
      <c r="G52" s="123">
        <f t="shared" si="1"/>
        <v>-1.934020938608394E-3</v>
      </c>
    </row>
    <row r="53" spans="2:7" x14ac:dyDescent="0.45">
      <c r="B53" s="189">
        <v>45911</v>
      </c>
      <c r="C53" s="256">
        <v>1502.8</v>
      </c>
      <c r="D53" s="123">
        <f t="shared" si="0"/>
        <v>1.7605633802816989E-2</v>
      </c>
      <c r="E53" s="15"/>
      <c r="F53" s="256">
        <v>23836.35</v>
      </c>
      <c r="G53" s="123">
        <f t="shared" si="1"/>
        <v>1.3385625916714439E-2</v>
      </c>
    </row>
    <row r="54" spans="2:7" x14ac:dyDescent="0.45">
      <c r="B54" s="189">
        <v>45699</v>
      </c>
      <c r="C54" s="256">
        <v>1476.8</v>
      </c>
      <c r="D54" s="123">
        <f t="shared" si="0"/>
        <v>-3.7104499763880305E-3</v>
      </c>
      <c r="E54" s="15"/>
      <c r="F54" s="256">
        <v>23521.5</v>
      </c>
      <c r="G54" s="123">
        <f t="shared" si="1"/>
        <v>-7.9669680815169786E-3</v>
      </c>
    </row>
    <row r="55" spans="2:7" x14ac:dyDescent="0.45">
      <c r="B55" t="s">
        <v>483</v>
      </c>
      <c r="C55" s="256">
        <v>1482.3</v>
      </c>
      <c r="D55" s="123">
        <f t="shared" si="0"/>
        <v>-2.8254883964861754E-2</v>
      </c>
      <c r="E55" s="15"/>
      <c r="F55" s="256">
        <v>23710.400000000001</v>
      </c>
      <c r="G55" s="123">
        <f t="shared" si="1"/>
        <v>1.0047875169929554E-3</v>
      </c>
    </row>
    <row r="56" spans="2:7" x14ac:dyDescent="0.45">
      <c r="B56" t="s">
        <v>482</v>
      </c>
      <c r="C56" s="256">
        <v>1525.4</v>
      </c>
      <c r="D56" s="123">
        <f t="shared" si="0"/>
        <v>5.8496981472486498E-2</v>
      </c>
      <c r="E56" s="15"/>
      <c r="F56" s="256">
        <v>23686.6</v>
      </c>
      <c r="G56" s="123">
        <f t="shared" si="1"/>
        <v>3.7524286964387699E-3</v>
      </c>
    </row>
    <row r="57" spans="2:7" x14ac:dyDescent="0.45">
      <c r="B57" s="189">
        <v>46001</v>
      </c>
      <c r="C57" s="256">
        <v>1441.1</v>
      </c>
      <c r="D57" s="123">
        <f t="shared" si="0"/>
        <v>-4.8716086870420616E-2</v>
      </c>
      <c r="E57" s="15"/>
      <c r="F57" s="256">
        <v>23598.05</v>
      </c>
      <c r="G57" s="123">
        <f t="shared" si="1"/>
        <v>1.1162268532900921E-2</v>
      </c>
    </row>
    <row r="58" spans="2:7" x14ac:dyDescent="0.45">
      <c r="B58" s="189">
        <v>45787</v>
      </c>
      <c r="C58" s="256">
        <v>1514.9</v>
      </c>
      <c r="D58" s="123">
        <f t="shared" si="0"/>
        <v>4.7214157334439566E-2</v>
      </c>
      <c r="E58" s="15"/>
      <c r="F58" s="256">
        <v>23337.55</v>
      </c>
      <c r="G58" s="123">
        <f t="shared" si="1"/>
        <v>1.345553398732835E-2</v>
      </c>
    </row>
    <row r="59" spans="2:7" x14ac:dyDescent="0.45">
      <c r="B59" t="s">
        <v>481</v>
      </c>
      <c r="C59" s="256">
        <v>1446.6</v>
      </c>
      <c r="D59" s="123">
        <f t="shared" si="0"/>
        <v>-1.5874111394852397E-3</v>
      </c>
      <c r="E59" s="15"/>
      <c r="F59" s="256">
        <v>23027.7</v>
      </c>
      <c r="G59" s="123">
        <f t="shared" si="1"/>
        <v>1.3848805647829421E-2</v>
      </c>
    </row>
    <row r="60" spans="2:7" x14ac:dyDescent="0.45">
      <c r="B60" t="s">
        <v>480</v>
      </c>
      <c r="C60" s="256">
        <v>1448.9</v>
      </c>
      <c r="D60" s="123">
        <f t="shared" si="0"/>
        <v>-5.9278015842098353E-2</v>
      </c>
      <c r="E60" s="15"/>
      <c r="F60" s="256">
        <v>22713.15</v>
      </c>
      <c r="G60" s="123">
        <f t="shared" si="1"/>
        <v>-3.2933602706218257E-2</v>
      </c>
    </row>
    <row r="61" spans="2:7" x14ac:dyDescent="0.45">
      <c r="B61" t="s">
        <v>479</v>
      </c>
      <c r="C61" s="256">
        <v>1540.2</v>
      </c>
      <c r="D61" s="123">
        <f t="shared" si="0"/>
        <v>9.570005243838553E-3</v>
      </c>
      <c r="E61" s="15"/>
      <c r="F61" s="256">
        <v>23486.65</v>
      </c>
      <c r="G61" s="123">
        <f t="shared" si="1"/>
        <v>1.2781233492523913E-2</v>
      </c>
    </row>
    <row r="62" spans="2:7" x14ac:dyDescent="0.45">
      <c r="B62" s="189">
        <v>45847</v>
      </c>
      <c r="C62" s="256">
        <v>1525.6</v>
      </c>
      <c r="D62" s="123">
        <f t="shared" si="0"/>
        <v>5.6070884673958155E-2</v>
      </c>
      <c r="E62" s="15"/>
      <c r="F62" s="256">
        <v>23190.25</v>
      </c>
      <c r="G62" s="123">
        <f t="shared" si="1"/>
        <v>1.5817496490232896E-2</v>
      </c>
    </row>
    <row r="63" spans="2:7" x14ac:dyDescent="0.45">
      <c r="B63" t="s">
        <v>478</v>
      </c>
      <c r="C63" s="256">
        <v>1444.6</v>
      </c>
      <c r="D63" s="123">
        <f t="shared" si="0"/>
        <v>-1.7011431682090405E-2</v>
      </c>
      <c r="E63" s="15"/>
      <c r="F63" s="256">
        <v>22829.15</v>
      </c>
      <c r="G63" s="123">
        <f t="shared" si="1"/>
        <v>1.6302400174509568E-2</v>
      </c>
    </row>
    <row r="64" spans="2:7" x14ac:dyDescent="0.45">
      <c r="B64" t="s">
        <v>477</v>
      </c>
      <c r="C64" s="256">
        <v>1469.6</v>
      </c>
      <c r="D64" s="123">
        <f t="shared" si="0"/>
        <v>-1.2033613445378233E-2</v>
      </c>
      <c r="E64" s="15"/>
      <c r="F64" s="256">
        <v>22462.95</v>
      </c>
      <c r="G64" s="123">
        <f t="shared" si="1"/>
        <v>-2.2980431728523376E-2</v>
      </c>
    </row>
    <row r="65" spans="2:7" x14ac:dyDescent="0.45">
      <c r="B65" t="s">
        <v>476</v>
      </c>
      <c r="C65" s="256">
        <v>1487.5</v>
      </c>
      <c r="D65" s="123">
        <f t="shared" si="0"/>
        <v>2.7491883677557505E-2</v>
      </c>
      <c r="E65" s="15"/>
      <c r="F65" s="256">
        <v>22991.3</v>
      </c>
      <c r="G65" s="123">
        <f t="shared" si="1"/>
        <v>1.3714575456619693E-2</v>
      </c>
    </row>
    <row r="66" spans="2:7" x14ac:dyDescent="0.45">
      <c r="B66" s="189">
        <v>45938</v>
      </c>
      <c r="C66" s="256">
        <v>1447.7</v>
      </c>
      <c r="D66" s="123">
        <f t="shared" si="0"/>
        <v>1.7286206169629725E-2</v>
      </c>
      <c r="E66" s="15"/>
      <c r="F66" s="256">
        <v>22680.25</v>
      </c>
      <c r="G66" s="123">
        <f t="shared" si="1"/>
        <v>1.0564470673679827E-2</v>
      </c>
    </row>
    <row r="67" spans="2:7" x14ac:dyDescent="0.45">
      <c r="B67" s="189">
        <v>45724</v>
      </c>
      <c r="C67" s="256">
        <v>1423.1</v>
      </c>
      <c r="D67" s="123">
        <f t="shared" si="0"/>
        <v>-3.1641262928688074E-2</v>
      </c>
      <c r="E67" s="15"/>
      <c r="F67" s="256">
        <v>22443.15</v>
      </c>
      <c r="G67" s="123">
        <f t="shared" si="1"/>
        <v>-1.0165985626487184E-2</v>
      </c>
    </row>
    <row r="68" spans="2:7" x14ac:dyDescent="0.45">
      <c r="B68" t="s">
        <v>475</v>
      </c>
      <c r="C68" s="256">
        <v>1469.6</v>
      </c>
      <c r="D68" s="123">
        <f t="shared" ref="D68:D131" si="2">IFERROR((C68/C69)-1,0)</f>
        <v>-3.041498977370205E-2</v>
      </c>
      <c r="E68" s="15"/>
      <c r="F68" s="256">
        <v>22673.65</v>
      </c>
      <c r="G68" s="123">
        <f t="shared" ref="G68:G131" si="3">IFERROR((F68/F69)-1,0)</f>
        <v>-1.4823070372108282E-2</v>
      </c>
    </row>
    <row r="69" spans="2:7" x14ac:dyDescent="0.45">
      <c r="B69" t="s">
        <v>474</v>
      </c>
      <c r="C69" s="256">
        <v>1515.7</v>
      </c>
      <c r="D69" s="123">
        <f t="shared" si="2"/>
        <v>-4.4385599899123607E-2</v>
      </c>
      <c r="E69" s="15"/>
      <c r="F69" s="256">
        <v>23014.799999999999</v>
      </c>
      <c r="G69" s="123">
        <f t="shared" si="3"/>
        <v>-1.118574960848806E-2</v>
      </c>
    </row>
    <row r="70" spans="2:7" x14ac:dyDescent="0.45">
      <c r="B70" t="s">
        <v>473</v>
      </c>
      <c r="C70" s="256">
        <v>1586.1</v>
      </c>
      <c r="D70" s="123">
        <f t="shared" si="2"/>
        <v>-5.5175873095493211E-3</v>
      </c>
      <c r="E70" s="15"/>
      <c r="F70" s="256">
        <v>23275.15</v>
      </c>
      <c r="G70" s="123">
        <f t="shared" si="3"/>
        <v>-3.2427510555044226E-4</v>
      </c>
    </row>
    <row r="71" spans="2:7" x14ac:dyDescent="0.45">
      <c r="B71" s="189">
        <v>45815</v>
      </c>
      <c r="C71" s="256">
        <v>1594.9</v>
      </c>
      <c r="D71" s="123">
        <f t="shared" si="2"/>
        <v>-2.7914914365819388E-2</v>
      </c>
      <c r="E71" s="15"/>
      <c r="F71" s="256">
        <v>23282.7</v>
      </c>
      <c r="G71" s="123">
        <f t="shared" si="3"/>
        <v>-1.1872704239160203E-2</v>
      </c>
    </row>
    <row r="72" spans="2:7" x14ac:dyDescent="0.45">
      <c r="B72" t="s">
        <v>472</v>
      </c>
      <c r="C72" s="256">
        <v>1640.7</v>
      </c>
      <c r="D72" s="123">
        <f t="shared" si="2"/>
        <v>2.0335820895522438E-2</v>
      </c>
      <c r="E72" s="15"/>
      <c r="F72" s="256">
        <v>23562.45</v>
      </c>
      <c r="G72" s="123">
        <f t="shared" si="3"/>
        <v>-2.4428295332586947E-3</v>
      </c>
    </row>
    <row r="73" spans="2:7" x14ac:dyDescent="0.45">
      <c r="B73" t="s">
        <v>471</v>
      </c>
      <c r="C73" s="256">
        <v>1608</v>
      </c>
      <c r="D73" s="123">
        <f t="shared" si="2"/>
        <v>-9.1810955696592922E-3</v>
      </c>
      <c r="E73" s="15"/>
      <c r="F73" s="256">
        <v>23620.15</v>
      </c>
      <c r="G73" s="123">
        <f t="shared" si="3"/>
        <v>2.5131178632964657E-2</v>
      </c>
    </row>
    <row r="74" spans="2:7" x14ac:dyDescent="0.45">
      <c r="B74" t="s">
        <v>470</v>
      </c>
      <c r="C74" s="256">
        <v>1622.9</v>
      </c>
      <c r="D74" s="123">
        <f t="shared" si="2"/>
        <v>1.3046192259675404E-2</v>
      </c>
      <c r="E74" s="15"/>
      <c r="F74" s="256">
        <v>23041.1</v>
      </c>
      <c r="G74" s="123">
        <f t="shared" si="3"/>
        <v>5.8892352288899552E-3</v>
      </c>
    </row>
    <row r="75" spans="2:7" x14ac:dyDescent="0.45">
      <c r="B75" s="189">
        <v>45875</v>
      </c>
      <c r="C75" s="256">
        <v>1602</v>
      </c>
      <c r="D75" s="123">
        <f t="shared" si="2"/>
        <v>2.4427676173423674E-2</v>
      </c>
      <c r="E75" s="15"/>
      <c r="F75" s="256">
        <v>22906.2</v>
      </c>
      <c r="G75" s="123">
        <f t="shared" si="3"/>
        <v>-1.1176295375370571E-2</v>
      </c>
    </row>
    <row r="76" spans="2:7" x14ac:dyDescent="0.45">
      <c r="B76" s="189">
        <v>45663</v>
      </c>
      <c r="C76" s="256">
        <v>1563.8</v>
      </c>
      <c r="D76" s="123">
        <f t="shared" si="2"/>
        <v>7.0390989953272864E-4</v>
      </c>
      <c r="E76" s="15"/>
      <c r="F76" s="256">
        <v>23165.1</v>
      </c>
      <c r="G76" s="123">
        <f t="shared" si="3"/>
        <v>1.5926269463795828E-2</v>
      </c>
    </row>
    <row r="77" spans="2:7" x14ac:dyDescent="0.45">
      <c r="B77" t="s">
        <v>469</v>
      </c>
      <c r="C77" s="256">
        <v>1562.7</v>
      </c>
      <c r="D77" s="123">
        <f t="shared" si="2"/>
        <v>-1.3420245398771957E-3</v>
      </c>
      <c r="E77" s="15"/>
      <c r="F77" s="256">
        <v>22801.95</v>
      </c>
      <c r="G77" s="123">
        <f t="shared" si="3"/>
        <v>9.1742917907655652E-4</v>
      </c>
    </row>
    <row r="78" spans="2:7" x14ac:dyDescent="0.45">
      <c r="B78" t="s">
        <v>468</v>
      </c>
      <c r="C78" s="256">
        <v>1564.8</v>
      </c>
      <c r="D78" s="123">
        <f t="shared" si="2"/>
        <v>-1.5787156424932447E-2</v>
      </c>
      <c r="E78" s="15"/>
      <c r="F78" s="256">
        <v>22781.05</v>
      </c>
      <c r="G78" s="123">
        <f t="shared" si="3"/>
        <v>-3.9285729901316069E-3</v>
      </c>
    </row>
    <row r="79" spans="2:7" x14ac:dyDescent="0.45">
      <c r="B79" s="189">
        <v>45966</v>
      </c>
      <c r="C79" s="256">
        <v>1589.9</v>
      </c>
      <c r="D79" s="123">
        <f t="shared" si="2"/>
        <v>5.4590076943486388E-2</v>
      </c>
      <c r="E79" s="15"/>
      <c r="F79" s="256">
        <v>22870.9</v>
      </c>
      <c r="G79" s="123">
        <f t="shared" si="3"/>
        <v>5.5147389570276317E-2</v>
      </c>
    </row>
    <row r="80" spans="2:7" x14ac:dyDescent="0.45">
      <c r="B80" s="189">
        <v>45752</v>
      </c>
      <c r="C80" s="256">
        <v>1507.6</v>
      </c>
      <c r="D80" s="123">
        <f t="shared" si="2"/>
        <v>5.3092646668440047E-4</v>
      </c>
      <c r="E80" s="15"/>
      <c r="F80" s="256">
        <v>21675.55</v>
      </c>
      <c r="G80" s="123">
        <f t="shared" si="3"/>
        <v>-1.5016359174770511E-2</v>
      </c>
    </row>
    <row r="81" spans="2:7" x14ac:dyDescent="0.45">
      <c r="B81" t="s">
        <v>467</v>
      </c>
      <c r="C81" s="256">
        <v>1506.8</v>
      </c>
      <c r="D81" s="123">
        <f t="shared" si="2"/>
        <v>1.7970544521010545E-2</v>
      </c>
      <c r="E81" s="15"/>
      <c r="F81" s="256">
        <v>22006</v>
      </c>
      <c r="G81" s="123">
        <f t="shared" si="3"/>
        <v>7.2248680094195716E-3</v>
      </c>
    </row>
    <row r="82" spans="2:7" x14ac:dyDescent="0.45">
      <c r="B82" t="s">
        <v>466</v>
      </c>
      <c r="C82" s="256">
        <v>1480.2</v>
      </c>
      <c r="D82" s="123">
        <f t="shared" si="2"/>
        <v>4.2761535752025459E-2</v>
      </c>
      <c r="E82" s="15"/>
      <c r="F82" s="256">
        <v>21848.15</v>
      </c>
      <c r="G82" s="123">
        <f t="shared" si="3"/>
        <v>7.6839524849470209E-3</v>
      </c>
    </row>
    <row r="83" spans="2:7" x14ac:dyDescent="0.45">
      <c r="B83" t="s">
        <v>465</v>
      </c>
      <c r="C83" s="256">
        <v>1419.5</v>
      </c>
      <c r="D83" s="123">
        <f t="shared" si="2"/>
        <v>7.1304409521444345E-3</v>
      </c>
      <c r="E83" s="15"/>
      <c r="F83" s="256">
        <v>21681.55</v>
      </c>
      <c r="G83" s="123">
        <f t="shared" si="3"/>
        <v>4.4750480054546848E-2</v>
      </c>
    </row>
    <row r="84" spans="2:7" x14ac:dyDescent="0.45">
      <c r="B84" s="189">
        <v>45812</v>
      </c>
      <c r="C84" s="256">
        <v>1409.45</v>
      </c>
      <c r="D84" s="123">
        <f t="shared" si="2"/>
        <v>-2.9070368201701502E-2</v>
      </c>
      <c r="E84" s="15"/>
      <c r="F84" s="256">
        <v>20752.849999999999</v>
      </c>
      <c r="G84" s="123">
        <f t="shared" si="3"/>
        <v>-2.5233894166644122E-3</v>
      </c>
    </row>
    <row r="85" spans="2:7" x14ac:dyDescent="0.45">
      <c r="B85" t="s">
        <v>464</v>
      </c>
      <c r="C85" s="256">
        <v>1451.65</v>
      </c>
      <c r="D85" s="123">
        <f t="shared" si="2"/>
        <v>-7.5764810747142919E-2</v>
      </c>
      <c r="E85" s="15"/>
      <c r="F85" s="256">
        <v>20805.349999999999</v>
      </c>
      <c r="G85" s="123">
        <f t="shared" si="3"/>
        <v>-2.5033330131141507E-2</v>
      </c>
    </row>
    <row r="86" spans="2:7" x14ac:dyDescent="0.45">
      <c r="B86" t="s">
        <v>463</v>
      </c>
      <c r="C86" s="256">
        <v>1570.65</v>
      </c>
      <c r="D86" s="123">
        <f t="shared" si="2"/>
        <v>-1.3751530564189429E-2</v>
      </c>
      <c r="E86" s="15"/>
      <c r="F86" s="256">
        <v>21339.55</v>
      </c>
      <c r="G86" s="123">
        <f t="shared" si="3"/>
        <v>3.0859409887231681E-3</v>
      </c>
    </row>
    <row r="87" spans="2:7" x14ac:dyDescent="0.45">
      <c r="B87" t="s">
        <v>462</v>
      </c>
      <c r="C87" s="256">
        <v>1592.55</v>
      </c>
      <c r="D87" s="123">
        <f t="shared" si="2"/>
        <v>8.0387378548596455E-3</v>
      </c>
      <c r="E87" s="15"/>
      <c r="F87" s="256">
        <v>21273.9</v>
      </c>
      <c r="G87" s="123">
        <f t="shared" si="3"/>
        <v>5.4413524946657077E-2</v>
      </c>
    </row>
    <row r="88" spans="2:7" x14ac:dyDescent="0.45">
      <c r="B88" s="189">
        <v>45903</v>
      </c>
      <c r="C88" s="256">
        <v>1579.85</v>
      </c>
      <c r="D88" s="123">
        <f t="shared" si="2"/>
        <v>-6.2959667852906298E-2</v>
      </c>
      <c r="E88" s="15"/>
      <c r="F88" s="256">
        <v>20176.05</v>
      </c>
      <c r="G88" s="123">
        <f t="shared" si="3"/>
        <v>-1.3077570267176819E-2</v>
      </c>
    </row>
    <row r="89" spans="2:7" x14ac:dyDescent="0.45">
      <c r="B89" s="189">
        <v>45691</v>
      </c>
      <c r="C89" s="256">
        <v>1686</v>
      </c>
      <c r="D89" s="123">
        <f t="shared" si="2"/>
        <v>-1.0072880251229543E-3</v>
      </c>
      <c r="E89" s="15"/>
      <c r="F89" s="256">
        <v>20443.400000000001</v>
      </c>
      <c r="G89" s="123">
        <f t="shared" si="3"/>
        <v>2.8293487719368793E-2</v>
      </c>
    </row>
    <row r="90" spans="2:7" x14ac:dyDescent="0.45">
      <c r="B90" t="s">
        <v>461</v>
      </c>
      <c r="C90" s="256">
        <v>1687.7</v>
      </c>
      <c r="D90" s="123">
        <f t="shared" si="2"/>
        <v>-7.0137741046831903E-2</v>
      </c>
      <c r="E90" s="15"/>
      <c r="F90" s="256">
        <v>19880.900000000001</v>
      </c>
      <c r="G90" s="123">
        <f t="shared" si="3"/>
        <v>-3.9117458706395491E-2</v>
      </c>
    </row>
    <row r="91" spans="2:7" x14ac:dyDescent="0.45">
      <c r="B91" t="s">
        <v>460</v>
      </c>
      <c r="C91" s="256">
        <v>1815</v>
      </c>
      <c r="D91" s="123">
        <f t="shared" si="2"/>
        <v>-2.2301228183581157E-2</v>
      </c>
      <c r="E91" s="15"/>
      <c r="F91" s="256">
        <v>20690.25</v>
      </c>
      <c r="G91" s="123">
        <f t="shared" si="3"/>
        <v>2.7698213065414645E-3</v>
      </c>
    </row>
    <row r="92" spans="2:7" x14ac:dyDescent="0.45">
      <c r="B92" s="189">
        <v>45902</v>
      </c>
      <c r="C92" s="256">
        <v>1856.4</v>
      </c>
      <c r="D92" s="123">
        <f t="shared" si="2"/>
        <v>-2.4820739106453438E-2</v>
      </c>
      <c r="E92" s="15"/>
      <c r="F92" s="256">
        <v>20633.099999999999</v>
      </c>
      <c r="G92" s="123">
        <f t="shared" si="3"/>
        <v>-4.680047029148382E-2</v>
      </c>
    </row>
    <row r="93" spans="2:7" x14ac:dyDescent="0.45">
      <c r="B93" s="189">
        <v>45690</v>
      </c>
      <c r="C93" s="256">
        <v>1903.65</v>
      </c>
      <c r="D93" s="123">
        <f t="shared" si="2"/>
        <v>1.2687519948930914E-2</v>
      </c>
      <c r="E93" s="15"/>
      <c r="F93" s="256">
        <v>21646.15</v>
      </c>
      <c r="G93" s="123">
        <f t="shared" si="3"/>
        <v>3.0235068973027968E-3</v>
      </c>
    </row>
    <row r="94" spans="2:7" x14ac:dyDescent="0.45">
      <c r="B94" t="s">
        <v>459</v>
      </c>
      <c r="C94" s="256">
        <v>1879.8</v>
      </c>
      <c r="D94" s="123">
        <f t="shared" si="2"/>
        <v>2.319443333599791E-3</v>
      </c>
      <c r="E94" s="15"/>
      <c r="F94" s="256">
        <v>21580.9</v>
      </c>
      <c r="G94" s="123">
        <f t="shared" si="3"/>
        <v>1.2289564658589436E-2</v>
      </c>
    </row>
    <row r="95" spans="2:7" x14ac:dyDescent="0.45">
      <c r="B95" t="s">
        <v>458</v>
      </c>
      <c r="C95" s="256">
        <v>1875.45</v>
      </c>
      <c r="D95" s="123">
        <f t="shared" si="2"/>
        <v>3.3049657109807562E-2</v>
      </c>
      <c r="E95" s="15"/>
      <c r="F95" s="256">
        <v>21318.9</v>
      </c>
      <c r="G95" s="123">
        <f t="shared" si="3"/>
        <v>-1.6667243228283724E-2</v>
      </c>
    </row>
    <row r="96" spans="2:7" x14ac:dyDescent="0.45">
      <c r="B96" s="189">
        <v>45992</v>
      </c>
      <c r="C96" s="256">
        <v>1815.45</v>
      </c>
      <c r="D96" s="123">
        <f t="shared" si="2"/>
        <v>-7.7022801799740748E-2</v>
      </c>
      <c r="E96" s="15"/>
      <c r="F96" s="256">
        <v>21680.25</v>
      </c>
      <c r="G96" s="123">
        <f t="shared" si="3"/>
        <v>-5.4474975916326551E-3</v>
      </c>
    </row>
    <row r="97" spans="2:7" x14ac:dyDescent="0.45">
      <c r="B97" s="189">
        <v>45778</v>
      </c>
      <c r="C97" s="256">
        <v>1966.95</v>
      </c>
      <c r="D97" s="123">
        <f t="shared" si="2"/>
        <v>1.4545454545454639E-2</v>
      </c>
      <c r="E97" s="15"/>
      <c r="F97" s="256">
        <v>21799</v>
      </c>
      <c r="G97" s="123">
        <f t="shared" si="3"/>
        <v>-4.0036286531487608E-2</v>
      </c>
    </row>
    <row r="98" spans="2:7" x14ac:dyDescent="0.45">
      <c r="B98" t="s">
        <v>457</v>
      </c>
      <c r="C98" s="256">
        <v>1938.75</v>
      </c>
      <c r="D98" s="123">
        <f t="shared" si="2"/>
        <v>1.1477761836441891E-2</v>
      </c>
      <c r="E98" s="15"/>
      <c r="F98" s="256">
        <v>22708.15</v>
      </c>
      <c r="G98" s="123">
        <f t="shared" si="3"/>
        <v>1.1715199686347155E-2</v>
      </c>
    </row>
    <row r="99" spans="2:7" x14ac:dyDescent="0.45">
      <c r="B99" t="s">
        <v>456</v>
      </c>
      <c r="C99" s="256">
        <v>1916.75</v>
      </c>
      <c r="D99" s="123">
        <f t="shared" si="2"/>
        <v>-2.8093541086804397E-3</v>
      </c>
      <c r="E99" s="15"/>
      <c r="F99" s="256">
        <v>22445.200000000001</v>
      </c>
      <c r="G99" s="123">
        <f t="shared" si="3"/>
        <v>5.6363522316906778E-3</v>
      </c>
    </row>
    <row r="100" spans="2:7" x14ac:dyDescent="0.45">
      <c r="B100" t="s">
        <v>455</v>
      </c>
      <c r="C100" s="256">
        <v>1922.15</v>
      </c>
      <c r="D100" s="123">
        <f t="shared" si="2"/>
        <v>-3.8780817122568312E-2</v>
      </c>
      <c r="E100" s="15"/>
      <c r="F100" s="256">
        <v>22319.4</v>
      </c>
      <c r="G100" s="123">
        <f t="shared" si="3"/>
        <v>-4.4503284608255034E-2</v>
      </c>
    </row>
    <row r="101" spans="2:7" x14ac:dyDescent="0.45">
      <c r="B101" s="189">
        <v>45516</v>
      </c>
      <c r="C101" s="256">
        <v>1999.7</v>
      </c>
      <c r="D101" s="123">
        <f t="shared" si="2"/>
        <v>4.0210153974198803E-2</v>
      </c>
      <c r="E101" s="15"/>
      <c r="F101" s="256">
        <v>23358.95</v>
      </c>
      <c r="G101" s="123">
        <f t="shared" si="3"/>
        <v>2.0096859570781778E-3</v>
      </c>
    </row>
    <row r="102" spans="2:7" x14ac:dyDescent="0.45">
      <c r="B102" s="189">
        <v>45303</v>
      </c>
      <c r="C102" s="256">
        <v>1922.4</v>
      </c>
      <c r="D102" s="123">
        <f t="shared" si="2"/>
        <v>3.4744462685362132E-2</v>
      </c>
      <c r="E102" s="15"/>
      <c r="F102" s="256">
        <v>23312.1</v>
      </c>
      <c r="G102" s="123">
        <f t="shared" si="3"/>
        <v>2.7553224313483504E-2</v>
      </c>
    </row>
    <row r="103" spans="2:7" x14ac:dyDescent="0.45">
      <c r="B103" t="s">
        <v>454</v>
      </c>
      <c r="C103" s="256">
        <v>1857.85</v>
      </c>
      <c r="D103" s="123">
        <f t="shared" si="2"/>
        <v>-2.3340780654488191E-2</v>
      </c>
      <c r="E103" s="15"/>
      <c r="F103" s="256">
        <v>22687</v>
      </c>
      <c r="G103" s="123">
        <f t="shared" si="3"/>
        <v>2.0762140869404755E-2</v>
      </c>
    </row>
    <row r="104" spans="2:7" x14ac:dyDescent="0.45">
      <c r="B104" t="s">
        <v>453</v>
      </c>
      <c r="C104" s="256">
        <v>1902.25</v>
      </c>
      <c r="D104" s="123">
        <f t="shared" si="2"/>
        <v>2.0219355876753164E-2</v>
      </c>
      <c r="E104" s="15"/>
      <c r="F104" s="256">
        <v>22225.55</v>
      </c>
      <c r="G104" s="123">
        <f t="shared" si="3"/>
        <v>1.1949588172889936E-2</v>
      </c>
    </row>
    <row r="105" spans="2:7" x14ac:dyDescent="0.45">
      <c r="B105" s="189">
        <v>45576</v>
      </c>
      <c r="C105" s="256">
        <v>1864.55</v>
      </c>
      <c r="D105" s="123">
        <f t="shared" si="2"/>
        <v>1.8907620426787508E-2</v>
      </c>
      <c r="E105" s="15"/>
      <c r="F105" s="256">
        <v>21963.1</v>
      </c>
      <c r="G105" s="123">
        <f t="shared" si="3"/>
        <v>-3.0140446399198217E-2</v>
      </c>
    </row>
    <row r="106" spans="2:7" x14ac:dyDescent="0.45">
      <c r="B106" s="189">
        <v>45362</v>
      </c>
      <c r="C106" s="256">
        <v>1829.95</v>
      </c>
      <c r="D106" s="123">
        <f t="shared" si="2"/>
        <v>3.9242411335434602E-2</v>
      </c>
      <c r="E106" s="15"/>
      <c r="F106" s="256">
        <v>22645.65</v>
      </c>
      <c r="G106" s="123">
        <f t="shared" si="3"/>
        <v>-7.7945805976720184E-3</v>
      </c>
    </row>
    <row r="107" spans="2:7" x14ac:dyDescent="0.45">
      <c r="B107" t="s">
        <v>452</v>
      </c>
      <c r="C107" s="256">
        <v>1760.85</v>
      </c>
      <c r="D107" s="123">
        <f t="shared" si="2"/>
        <v>-5.4348701699739599E-2</v>
      </c>
      <c r="E107" s="15"/>
      <c r="F107" s="256">
        <v>22823.55</v>
      </c>
      <c r="G107" s="123">
        <f t="shared" si="3"/>
        <v>1.4422831186205576E-2</v>
      </c>
    </row>
    <row r="108" spans="2:7" x14ac:dyDescent="0.45">
      <c r="B108" t="s">
        <v>451</v>
      </c>
      <c r="C108" s="256">
        <v>1862.05</v>
      </c>
      <c r="D108" s="123">
        <f t="shared" si="2"/>
        <v>-9.3370929985102658E-3</v>
      </c>
      <c r="E108" s="15"/>
      <c r="F108" s="256">
        <v>22499.05</v>
      </c>
      <c r="G108" s="123">
        <f t="shared" si="3"/>
        <v>-4.0171581906683684E-2</v>
      </c>
    </row>
    <row r="109" spans="2:7" x14ac:dyDescent="0.45">
      <c r="B109" t="s">
        <v>450</v>
      </c>
      <c r="C109" s="256">
        <v>1879.6</v>
      </c>
      <c r="D109" s="123">
        <f t="shared" si="2"/>
        <v>-2.8680688336520044E-2</v>
      </c>
      <c r="E109" s="15"/>
      <c r="F109" s="256">
        <v>23440.7</v>
      </c>
      <c r="G109" s="123">
        <f t="shared" si="3"/>
        <v>-7.2232516279315817E-3</v>
      </c>
    </row>
    <row r="110" spans="2:7" x14ac:dyDescent="0.45">
      <c r="B110" s="189">
        <v>45453</v>
      </c>
      <c r="C110" s="256">
        <v>1935.1</v>
      </c>
      <c r="D110" s="123">
        <f t="shared" si="2"/>
        <v>8.8366394703229822E-3</v>
      </c>
      <c r="E110" s="15"/>
      <c r="F110" s="256">
        <v>23611.25</v>
      </c>
      <c r="G110" s="123">
        <f t="shared" si="3"/>
        <v>3.2419869173292426E-3</v>
      </c>
    </row>
    <row r="111" spans="2:7" x14ac:dyDescent="0.45">
      <c r="B111" t="s">
        <v>449</v>
      </c>
      <c r="C111" s="256">
        <v>1918.15</v>
      </c>
      <c r="D111" s="123">
        <f t="shared" si="2"/>
        <v>5.9787596695948242E-3</v>
      </c>
      <c r="E111" s="15"/>
      <c r="F111" s="256">
        <v>23534.95</v>
      </c>
      <c r="G111" s="123">
        <f t="shared" si="3"/>
        <v>-3.897989142307634E-2</v>
      </c>
    </row>
    <row r="112" spans="2:7" x14ac:dyDescent="0.45">
      <c r="B112" t="s">
        <v>448</v>
      </c>
      <c r="C112" s="256">
        <v>1906.75</v>
      </c>
      <c r="D112" s="123">
        <f t="shared" si="2"/>
        <v>5.2472779745516007E-4</v>
      </c>
      <c r="E112" s="15"/>
      <c r="F112" s="256">
        <v>24489.55</v>
      </c>
      <c r="G112" s="123">
        <f t="shared" si="3"/>
        <v>1.2224206201588927E-2</v>
      </c>
    </row>
    <row r="113" spans="2:7" x14ac:dyDescent="0.45">
      <c r="B113" t="s">
        <v>447</v>
      </c>
      <c r="C113" s="256">
        <v>1905.75</v>
      </c>
      <c r="D113" s="123">
        <f t="shared" si="2"/>
        <v>-1.972635152512725E-2</v>
      </c>
      <c r="E113" s="15"/>
      <c r="F113" s="256">
        <v>24193.8</v>
      </c>
      <c r="G113" s="123">
        <f t="shared" si="3"/>
        <v>1.1099873789085724E-2</v>
      </c>
    </row>
    <row r="114" spans="2:7" x14ac:dyDescent="0.45">
      <c r="B114" s="189">
        <v>45513</v>
      </c>
      <c r="C114" s="256">
        <v>1944.1</v>
      </c>
      <c r="D114" s="123">
        <f t="shared" si="2"/>
        <v>2.2215211504587717E-2</v>
      </c>
      <c r="E114" s="15"/>
      <c r="F114" s="256">
        <v>23928.2</v>
      </c>
      <c r="G114" s="123">
        <f t="shared" si="3"/>
        <v>1.9188421353028673E-2</v>
      </c>
    </row>
    <row r="115" spans="2:7" x14ac:dyDescent="0.45">
      <c r="B115" s="189">
        <v>45300</v>
      </c>
      <c r="C115" s="256">
        <v>1901.85</v>
      </c>
      <c r="D115" s="123">
        <f t="shared" si="2"/>
        <v>-2.1531100478468956E-2</v>
      </c>
      <c r="E115" s="15"/>
      <c r="F115" s="256">
        <v>23477.7</v>
      </c>
      <c r="G115" s="123">
        <f t="shared" si="3"/>
        <v>-1.0821776692627405E-2</v>
      </c>
    </row>
    <row r="116" spans="2:7" x14ac:dyDescent="0.45">
      <c r="B116" t="s">
        <v>446</v>
      </c>
      <c r="C116" s="256">
        <v>1943.7</v>
      </c>
      <c r="D116" s="123">
        <f t="shared" si="2"/>
        <v>4.3821491864024509E-2</v>
      </c>
      <c r="E116" s="15"/>
      <c r="F116" s="256">
        <v>23734.55</v>
      </c>
      <c r="G116" s="123">
        <f t="shared" si="3"/>
        <v>1.34892489532914E-2</v>
      </c>
    </row>
    <row r="117" spans="2:7" x14ac:dyDescent="0.45">
      <c r="B117" t="s">
        <v>445</v>
      </c>
      <c r="C117" s="256">
        <v>1862.1</v>
      </c>
      <c r="D117" s="123">
        <f t="shared" si="2"/>
        <v>1.6945049624788044E-3</v>
      </c>
      <c r="E117" s="15"/>
      <c r="F117" s="256">
        <v>23418.65</v>
      </c>
      <c r="G117" s="123">
        <f t="shared" si="3"/>
        <v>1.5707067421334653E-2</v>
      </c>
    </row>
    <row r="118" spans="2:7" x14ac:dyDescent="0.45">
      <c r="B118" s="189">
        <v>45604</v>
      </c>
      <c r="C118" s="256">
        <v>1858.95</v>
      </c>
      <c r="D118" s="123">
        <f t="shared" si="2"/>
        <v>4.9809402795425672E-2</v>
      </c>
      <c r="E118" s="15"/>
      <c r="F118" s="256">
        <v>23056.5</v>
      </c>
      <c r="G118" s="123">
        <f t="shared" si="3"/>
        <v>5.8019063406546945E-3</v>
      </c>
    </row>
    <row r="119" spans="2:7" x14ac:dyDescent="0.45">
      <c r="B119" s="189">
        <v>45390</v>
      </c>
      <c r="C119" s="256">
        <v>1770.75</v>
      </c>
      <c r="D119" s="123">
        <f t="shared" si="2"/>
        <v>-2.7701515484296113E-2</v>
      </c>
      <c r="E119" s="15"/>
      <c r="F119" s="256">
        <v>22923.5</v>
      </c>
      <c r="G119" s="123">
        <f t="shared" si="3"/>
        <v>-1.4443591744430773E-2</v>
      </c>
    </row>
    <row r="120" spans="2:7" x14ac:dyDescent="0.45">
      <c r="B120" t="s">
        <v>444</v>
      </c>
      <c r="C120" s="256">
        <v>1821.2</v>
      </c>
      <c r="D120" s="123">
        <f t="shared" si="2"/>
        <v>-3.0709457661397654E-2</v>
      </c>
      <c r="E120" s="15"/>
      <c r="F120" s="256">
        <v>23259.45</v>
      </c>
      <c r="G120" s="123">
        <f t="shared" si="3"/>
        <v>-1.3996191833693938E-3</v>
      </c>
    </row>
    <row r="121" spans="2:7" x14ac:dyDescent="0.45">
      <c r="B121" t="s">
        <v>443</v>
      </c>
      <c r="C121" s="256">
        <v>1878.9</v>
      </c>
      <c r="D121" s="123">
        <f t="shared" si="2"/>
        <v>4.7937756211829718E-2</v>
      </c>
      <c r="E121" s="15"/>
      <c r="F121" s="256">
        <v>23292.05</v>
      </c>
      <c r="G121" s="123">
        <f t="shared" si="3"/>
        <v>1.9185161199986034E-2</v>
      </c>
    </row>
    <row r="122" spans="2:7" x14ac:dyDescent="0.45">
      <c r="B122" t="s">
        <v>442</v>
      </c>
      <c r="C122" s="256">
        <v>1792.95</v>
      </c>
      <c r="D122" s="123">
        <f t="shared" si="2"/>
        <v>4.7436833649773691E-2</v>
      </c>
      <c r="E122" s="15"/>
      <c r="F122" s="256">
        <v>22853.599999999999</v>
      </c>
      <c r="G122" s="123">
        <f t="shared" si="3"/>
        <v>-1.0471759589010032E-2</v>
      </c>
    </row>
    <row r="123" spans="2:7" x14ac:dyDescent="0.45">
      <c r="B123" s="189">
        <v>45480</v>
      </c>
      <c r="C123" s="256">
        <v>1711.75</v>
      </c>
      <c r="D123" s="123">
        <f t="shared" si="2"/>
        <v>3.9030016085465302E-2</v>
      </c>
      <c r="E123" s="15"/>
      <c r="F123" s="256">
        <v>23095.45</v>
      </c>
      <c r="G123" s="123">
        <f t="shared" si="3"/>
        <v>4.6894745656906878E-3</v>
      </c>
    </row>
    <row r="124" spans="2:7" x14ac:dyDescent="0.45">
      <c r="B124" t="s">
        <v>441</v>
      </c>
      <c r="C124" s="256">
        <v>1647.45</v>
      </c>
      <c r="D124" s="123">
        <f t="shared" si="2"/>
        <v>5.1507898516036432E-2</v>
      </c>
      <c r="E124" s="15"/>
      <c r="F124" s="256">
        <v>22987.65</v>
      </c>
      <c r="G124" s="123">
        <f t="shared" si="3"/>
        <v>1.8969667149829172E-2</v>
      </c>
    </row>
    <row r="125" spans="2:7" x14ac:dyDescent="0.45">
      <c r="B125" t="s">
        <v>440</v>
      </c>
      <c r="C125" s="256">
        <v>1566.75</v>
      </c>
      <c r="D125" s="123">
        <f t="shared" si="2"/>
        <v>2.2215697788216859E-2</v>
      </c>
      <c r="E125" s="15"/>
      <c r="F125" s="256">
        <v>22559.7</v>
      </c>
      <c r="G125" s="123">
        <f t="shared" si="3"/>
        <v>1.4548349088423285E-2</v>
      </c>
    </row>
    <row r="126" spans="2:7" x14ac:dyDescent="0.45">
      <c r="B126" t="s">
        <v>439</v>
      </c>
      <c r="C126" s="256">
        <v>1532.7</v>
      </c>
      <c r="D126" s="123">
        <f t="shared" si="2"/>
        <v>2.9417690912754368E-2</v>
      </c>
      <c r="E126" s="15"/>
      <c r="F126" s="256">
        <v>22236.2</v>
      </c>
      <c r="G126" s="123">
        <f t="shared" si="3"/>
        <v>9.8585145604412894E-4</v>
      </c>
    </row>
    <row r="127" spans="2:7" x14ac:dyDescent="0.45">
      <c r="B127" s="189">
        <v>45541</v>
      </c>
      <c r="C127" s="256">
        <v>1488.9</v>
      </c>
      <c r="D127" s="123">
        <f t="shared" si="2"/>
        <v>-2.9147104851330097E-2</v>
      </c>
      <c r="E127" s="15"/>
      <c r="F127" s="256">
        <v>22214.3</v>
      </c>
      <c r="G127" s="123">
        <f t="shared" si="3"/>
        <v>2.0683095825014819E-2</v>
      </c>
    </row>
    <row r="128" spans="2:7" x14ac:dyDescent="0.45">
      <c r="B128" s="189">
        <v>45328</v>
      </c>
      <c r="C128" s="256">
        <v>1533.6</v>
      </c>
      <c r="D128" s="123">
        <f t="shared" si="2"/>
        <v>9.0056151823157071E-2</v>
      </c>
      <c r="E128" s="15"/>
      <c r="F128" s="256">
        <v>21764.15</v>
      </c>
      <c r="G128" s="123">
        <f t="shared" si="3"/>
        <v>3.1315007605445588E-2</v>
      </c>
    </row>
    <row r="129" spans="2:7" x14ac:dyDescent="0.45">
      <c r="B129" t="s">
        <v>438</v>
      </c>
      <c r="C129" s="256">
        <v>1406.9</v>
      </c>
      <c r="D129" s="123">
        <f t="shared" si="2"/>
        <v>-3.4312817028052889E-2</v>
      </c>
      <c r="E129" s="15"/>
      <c r="F129" s="256">
        <v>21103.3</v>
      </c>
      <c r="G129" s="123">
        <f t="shared" si="3"/>
        <v>-1.7708733344970029E-2</v>
      </c>
    </row>
    <row r="130" spans="2:7" x14ac:dyDescent="0.45">
      <c r="B130" t="s">
        <v>437</v>
      </c>
      <c r="C130" s="256">
        <v>1456.89</v>
      </c>
      <c r="D130" s="123">
        <f t="shared" si="2"/>
        <v>1.4399008501542188E-2</v>
      </c>
      <c r="E130" s="15"/>
      <c r="F130" s="256">
        <v>21483.75</v>
      </c>
      <c r="G130" s="123">
        <f t="shared" si="3"/>
        <v>1.9900733697135742E-2</v>
      </c>
    </row>
    <row r="131" spans="2:7" x14ac:dyDescent="0.45">
      <c r="B131" s="189">
        <v>45631</v>
      </c>
      <c r="C131" s="256">
        <v>1436.21</v>
      </c>
      <c r="D131" s="123">
        <f t="shared" si="2"/>
        <v>1.3614036078254177E-2</v>
      </c>
      <c r="E131" s="15"/>
      <c r="F131" s="256">
        <v>21064.55</v>
      </c>
      <c r="G131" s="123">
        <f t="shared" si="3"/>
        <v>2.9090189602864802E-2</v>
      </c>
    </row>
    <row r="132" spans="2:7" x14ac:dyDescent="0.45">
      <c r="B132" s="189">
        <v>45417</v>
      </c>
      <c r="C132" s="256">
        <v>1416.92</v>
      </c>
      <c r="D132" s="123">
        <f t="shared" ref="D132:D195" si="4">IFERROR((C132/C133)-1,0)</f>
        <v>6.0779914226476439E-3</v>
      </c>
      <c r="E132" s="15"/>
      <c r="F132" s="256">
        <v>20469.099999999999</v>
      </c>
      <c r="G132" s="123">
        <f t="shared" ref="G132:G195" si="5">IFERROR((F132/F133)-1,0)</f>
        <v>-2.3399834443010525E-2</v>
      </c>
    </row>
    <row r="133" spans="2:7" x14ac:dyDescent="0.45">
      <c r="B133" t="s">
        <v>436</v>
      </c>
      <c r="C133" s="256">
        <v>1408.36</v>
      </c>
      <c r="D133" s="123">
        <f t="shared" si="4"/>
        <v>-9.7522904171618574E-3</v>
      </c>
      <c r="E133" s="15"/>
      <c r="F133" s="256">
        <v>20959.55</v>
      </c>
      <c r="G133" s="123">
        <f t="shared" si="5"/>
        <v>5.7679342205971817E-3</v>
      </c>
    </row>
    <row r="134" spans="2:7" x14ac:dyDescent="0.45">
      <c r="B134" t="s">
        <v>435</v>
      </c>
      <c r="C134" s="256">
        <v>1422.23</v>
      </c>
      <c r="D134" s="123">
        <f t="shared" si="4"/>
        <v>1.3460743654424512E-2</v>
      </c>
      <c r="E134" s="15"/>
      <c r="F134" s="256">
        <v>20839.349999999999</v>
      </c>
      <c r="G134" s="123">
        <f t="shared" si="5"/>
        <v>2.2278417675568374E-2</v>
      </c>
    </row>
    <row r="135" spans="2:7" x14ac:dyDescent="0.45">
      <c r="B135" t="s">
        <v>434</v>
      </c>
      <c r="C135" s="256">
        <v>1403.34</v>
      </c>
      <c r="D135" s="123">
        <f t="shared" si="4"/>
        <v>-4.950454813299654E-2</v>
      </c>
      <c r="E135" s="15"/>
      <c r="F135" s="256">
        <v>20385.2</v>
      </c>
      <c r="G135" s="123">
        <f t="shared" si="5"/>
        <v>-1.7367621893904617E-2</v>
      </c>
    </row>
    <row r="136" spans="2:7" x14ac:dyDescent="0.45">
      <c r="B136" s="189">
        <v>45477</v>
      </c>
      <c r="C136" s="256">
        <v>1476.43</v>
      </c>
      <c r="D136" s="123">
        <f t="shared" si="4"/>
        <v>3.8210237896125765E-3</v>
      </c>
      <c r="E136" s="15"/>
      <c r="F136" s="256">
        <v>20745.5</v>
      </c>
      <c r="G136" s="123">
        <f t="shared" si="5"/>
        <v>1.4675285178444852E-3</v>
      </c>
    </row>
    <row r="137" spans="2:7" x14ac:dyDescent="0.45">
      <c r="B137" t="s">
        <v>433</v>
      </c>
      <c r="C137" s="256">
        <v>1470.81</v>
      </c>
      <c r="D137" s="123">
        <f t="shared" si="4"/>
        <v>-1.2653894177194869E-2</v>
      </c>
      <c r="E137" s="15"/>
      <c r="F137" s="256">
        <v>20715.099999999999</v>
      </c>
      <c r="G137" s="123">
        <f t="shared" si="5"/>
        <v>2.2707805175473661E-2</v>
      </c>
    </row>
    <row r="138" spans="2:7" x14ac:dyDescent="0.45">
      <c r="B138" t="s">
        <v>432</v>
      </c>
      <c r="C138" s="256">
        <v>1489.66</v>
      </c>
      <c r="D138" s="123">
        <f t="shared" si="4"/>
        <v>-7.1514739501062907E-3</v>
      </c>
      <c r="E138" s="15"/>
      <c r="F138" s="256">
        <v>20255.150000000001</v>
      </c>
      <c r="G138" s="123">
        <f t="shared" si="5"/>
        <v>1.3031018374961345E-2</v>
      </c>
    </row>
    <row r="139" spans="2:7" x14ac:dyDescent="0.45">
      <c r="B139" t="s">
        <v>431</v>
      </c>
      <c r="C139" s="256">
        <v>1500.39</v>
      </c>
      <c r="D139" s="123">
        <f t="shared" si="4"/>
        <v>-7.6592156766204567E-2</v>
      </c>
      <c r="E139" s="15"/>
      <c r="F139" s="256">
        <v>19994.599999999999</v>
      </c>
      <c r="G139" s="123">
        <f t="shared" si="5"/>
        <v>8.5446805076365706E-3</v>
      </c>
    </row>
    <row r="140" spans="2:7" x14ac:dyDescent="0.45">
      <c r="B140" s="189">
        <v>45568</v>
      </c>
      <c r="C140" s="256">
        <v>1624.84</v>
      </c>
      <c r="D140" s="123">
        <f t="shared" si="4"/>
        <v>1.0856108349560412E-2</v>
      </c>
      <c r="E140" s="15"/>
      <c r="F140" s="256">
        <v>19825.2</v>
      </c>
      <c r="G140" s="123">
        <f t="shared" si="5"/>
        <v>-2.9831463973222117E-2</v>
      </c>
    </row>
    <row r="141" spans="2:7" x14ac:dyDescent="0.45">
      <c r="B141" s="189">
        <v>45354</v>
      </c>
      <c r="C141" s="256">
        <v>1607.39</v>
      </c>
      <c r="D141" s="123">
        <f t="shared" si="4"/>
        <v>-2.3118576906948296E-2</v>
      </c>
      <c r="E141" s="15"/>
      <c r="F141" s="256">
        <v>20434.8</v>
      </c>
      <c r="G141" s="123">
        <f t="shared" si="5"/>
        <v>4.1769452279629693E-3</v>
      </c>
    </row>
    <row r="142" spans="2:7" x14ac:dyDescent="0.45">
      <c r="B142" t="s">
        <v>430</v>
      </c>
      <c r="C142" s="256">
        <v>1645.43</v>
      </c>
      <c r="D142" s="123">
        <f t="shared" si="4"/>
        <v>-1.3205793277159761E-2</v>
      </c>
      <c r="E142" s="15"/>
      <c r="F142" s="256">
        <v>20349.8</v>
      </c>
      <c r="G142" s="123">
        <f t="shared" si="5"/>
        <v>1.7869889482362566E-3</v>
      </c>
    </row>
    <row r="143" spans="2:7" x14ac:dyDescent="0.45">
      <c r="B143" t="s">
        <v>429</v>
      </c>
      <c r="C143" s="256">
        <v>1667.45</v>
      </c>
      <c r="D143" s="123">
        <f t="shared" si="4"/>
        <v>-1.4573520634001302E-2</v>
      </c>
      <c r="E143" s="15"/>
      <c r="F143" s="256">
        <v>20313.5</v>
      </c>
      <c r="G143" s="123">
        <f t="shared" si="5"/>
        <v>7.3692406111609543E-3</v>
      </c>
    </row>
    <row r="144" spans="2:7" x14ac:dyDescent="0.45">
      <c r="B144" s="189">
        <v>45598</v>
      </c>
      <c r="C144" s="256">
        <v>1692.11</v>
      </c>
      <c r="D144" s="123">
        <f t="shared" si="4"/>
        <v>1.9349514153699676E-2</v>
      </c>
      <c r="E144" s="15"/>
      <c r="F144" s="256">
        <v>20164.900000000001</v>
      </c>
      <c r="G144" s="123">
        <f t="shared" si="5"/>
        <v>1.0189615008892261E-2</v>
      </c>
    </row>
    <row r="145" spans="2:7" x14ac:dyDescent="0.45">
      <c r="B145" s="189">
        <v>45384</v>
      </c>
      <c r="C145" s="256">
        <v>1659.99</v>
      </c>
      <c r="D145" s="123">
        <f t="shared" si="4"/>
        <v>-1.4175762830639038E-2</v>
      </c>
      <c r="E145" s="15"/>
      <c r="F145" s="256">
        <v>19961.5</v>
      </c>
      <c r="G145" s="123">
        <f t="shared" si="5"/>
        <v>2.5463567511099239E-3</v>
      </c>
    </row>
    <row r="146" spans="2:7" x14ac:dyDescent="0.45">
      <c r="B146" t="s">
        <v>428</v>
      </c>
      <c r="C146" s="256">
        <v>1683.86</v>
      </c>
      <c r="D146" s="123">
        <f t="shared" si="4"/>
        <v>1.4526284078927532E-2</v>
      </c>
      <c r="E146" s="15"/>
      <c r="F146" s="256">
        <v>19910.8</v>
      </c>
      <c r="G146" s="123">
        <f t="shared" si="5"/>
        <v>2.6700355798483955E-2</v>
      </c>
    </row>
    <row r="147" spans="2:7" x14ac:dyDescent="0.45">
      <c r="B147" t="s">
        <v>427</v>
      </c>
      <c r="C147" s="256">
        <v>1659.75</v>
      </c>
      <c r="D147" s="123">
        <f t="shared" si="4"/>
        <v>5.9700587914417458E-3</v>
      </c>
      <c r="E147" s="15"/>
      <c r="F147" s="256">
        <v>19393</v>
      </c>
      <c r="G147" s="123">
        <f t="shared" si="5"/>
        <v>-1.088420107719934E-2</v>
      </c>
    </row>
    <row r="148" spans="2:7" x14ac:dyDescent="0.45">
      <c r="B148" t="s">
        <v>426</v>
      </c>
      <c r="C148" s="256">
        <v>1649.9</v>
      </c>
      <c r="D148" s="123">
        <f t="shared" si="4"/>
        <v>2.8801965442629918E-2</v>
      </c>
      <c r="E148" s="15"/>
      <c r="F148" s="256">
        <v>19606.400000000001</v>
      </c>
      <c r="G148" s="123">
        <f t="shared" si="5"/>
        <v>-7.0496718256217727E-3</v>
      </c>
    </row>
    <row r="149" spans="2:7" x14ac:dyDescent="0.45">
      <c r="B149" s="189">
        <v>45474</v>
      </c>
      <c r="C149" s="256">
        <v>1603.71</v>
      </c>
      <c r="D149" s="123">
        <f t="shared" si="4"/>
        <v>5.2330769836478552E-2</v>
      </c>
      <c r="E149" s="15"/>
      <c r="F149" s="256">
        <v>19745.599999999999</v>
      </c>
      <c r="G149" s="123">
        <f t="shared" si="5"/>
        <v>7.9119577756678883E-3</v>
      </c>
    </row>
    <row r="150" spans="2:7" x14ac:dyDescent="0.45">
      <c r="B150" t="s">
        <v>425</v>
      </c>
      <c r="C150" s="256">
        <v>1523.96</v>
      </c>
      <c r="D150" s="123">
        <f t="shared" si="4"/>
        <v>-6.7068600293302971E-3</v>
      </c>
      <c r="E150" s="15"/>
      <c r="F150" s="256">
        <v>19590.599999999999</v>
      </c>
      <c r="G150" s="123">
        <f t="shared" si="5"/>
        <v>8.3096790132350939E-3</v>
      </c>
    </row>
    <row r="151" spans="2:7" x14ac:dyDescent="0.45">
      <c r="B151" t="s">
        <v>424</v>
      </c>
      <c r="C151" s="256">
        <v>1534.25</v>
      </c>
      <c r="D151" s="123">
        <f t="shared" si="4"/>
        <v>-1.2798074819514338E-2</v>
      </c>
      <c r="E151" s="15"/>
      <c r="F151" s="256">
        <v>19429.150000000001</v>
      </c>
      <c r="G151" s="123">
        <f t="shared" si="5"/>
        <v>1.9651319621930563E-2</v>
      </c>
    </row>
    <row r="152" spans="2:7" x14ac:dyDescent="0.45">
      <c r="B152" t="s">
        <v>423</v>
      </c>
      <c r="C152" s="256">
        <v>1554.14</v>
      </c>
      <c r="D152" s="123">
        <f t="shared" si="4"/>
        <v>-9.8244093886183936E-3</v>
      </c>
      <c r="E152" s="15"/>
      <c r="F152" s="256">
        <v>19054.7</v>
      </c>
      <c r="G152" s="123">
        <f t="shared" si="5"/>
        <v>-4.7192355204086489E-3</v>
      </c>
    </row>
    <row r="153" spans="2:7" x14ac:dyDescent="0.45">
      <c r="B153" s="189">
        <v>45211</v>
      </c>
      <c r="C153" s="256">
        <v>1569.56</v>
      </c>
      <c r="D153" s="123">
        <f t="shared" si="4"/>
        <v>5.8518063920042662E-2</v>
      </c>
      <c r="E153" s="15"/>
      <c r="F153" s="256">
        <v>19145.05</v>
      </c>
      <c r="G153" s="123">
        <f t="shared" si="5"/>
        <v>2.3607880877910548E-2</v>
      </c>
    </row>
    <row r="154" spans="2:7" x14ac:dyDescent="0.45">
      <c r="B154" s="189">
        <v>44997</v>
      </c>
      <c r="C154" s="256">
        <v>1482.79</v>
      </c>
      <c r="D154" s="123">
        <f t="shared" si="4"/>
        <v>2.6749113671615143E-2</v>
      </c>
      <c r="E154" s="15"/>
      <c r="F154" s="256">
        <v>18703.5</v>
      </c>
      <c r="G154" s="123">
        <f t="shared" si="5"/>
        <v>3.2466941019632545E-2</v>
      </c>
    </row>
    <row r="155" spans="2:7" x14ac:dyDescent="0.45">
      <c r="B155" t="s">
        <v>422</v>
      </c>
      <c r="C155" s="256">
        <v>1444.16</v>
      </c>
      <c r="D155" s="123">
        <f t="shared" si="4"/>
        <v>1.0368421789077598E-2</v>
      </c>
      <c r="E155" s="15"/>
      <c r="F155" s="256">
        <v>18115.349999999999</v>
      </c>
      <c r="G155" s="123">
        <f t="shared" si="5"/>
        <v>2.6743559951256657E-2</v>
      </c>
    </row>
    <row r="156" spans="2:7" x14ac:dyDescent="0.45">
      <c r="B156" t="s">
        <v>421</v>
      </c>
      <c r="C156" s="256">
        <v>1429.34</v>
      </c>
      <c r="D156" s="123">
        <f t="shared" si="4"/>
        <v>-1.049325283842828E-4</v>
      </c>
      <c r="E156" s="15"/>
      <c r="F156" s="256">
        <v>17643.5</v>
      </c>
      <c r="G156" s="123">
        <f t="shared" si="5"/>
        <v>2.4431124115791292E-3</v>
      </c>
    </row>
    <row r="157" spans="2:7" x14ac:dyDescent="0.45">
      <c r="B157" s="189">
        <v>45271</v>
      </c>
      <c r="C157" s="256">
        <v>1429.49</v>
      </c>
      <c r="D157" s="123">
        <f t="shared" si="4"/>
        <v>5.0184398830426469E-2</v>
      </c>
      <c r="E157" s="15"/>
      <c r="F157" s="256">
        <v>17600.5</v>
      </c>
      <c r="G157" s="123">
        <f t="shared" si="5"/>
        <v>1.9928607025717859E-2</v>
      </c>
    </row>
    <row r="158" spans="2:7" x14ac:dyDescent="0.45">
      <c r="B158" s="189">
        <v>45057</v>
      </c>
      <c r="C158" s="256">
        <v>1361.18</v>
      </c>
      <c r="D158" s="123">
        <f t="shared" si="4"/>
        <v>-1.4544585779753372E-2</v>
      </c>
      <c r="E158" s="15"/>
      <c r="F158" s="256">
        <v>17256.599999999999</v>
      </c>
      <c r="G158" s="123">
        <f t="shared" si="5"/>
        <v>1.5037394969104501E-2</v>
      </c>
    </row>
    <row r="159" spans="2:7" x14ac:dyDescent="0.45">
      <c r="B159" t="s">
        <v>420</v>
      </c>
      <c r="C159" s="256">
        <v>1381.27</v>
      </c>
      <c r="D159" s="123">
        <f t="shared" si="4"/>
        <v>6.3091482649841879E-3</v>
      </c>
      <c r="E159" s="15"/>
      <c r="F159" s="256">
        <v>17000.95</v>
      </c>
      <c r="G159" s="123">
        <f t="shared" si="5"/>
        <v>1.4046744942724398E-2</v>
      </c>
    </row>
    <row r="160" spans="2:7" x14ac:dyDescent="0.45">
      <c r="B160" t="s">
        <v>419</v>
      </c>
      <c r="C160" s="256">
        <v>1372.61</v>
      </c>
      <c r="D160" s="123">
        <f t="shared" si="4"/>
        <v>-3.2862427338383071E-2</v>
      </c>
      <c r="E160" s="15"/>
      <c r="F160" s="256">
        <v>16765.45</v>
      </c>
      <c r="G160" s="123">
        <f t="shared" si="5"/>
        <v>-2.5760151085930105E-2</v>
      </c>
    </row>
    <row r="161" spans="2:7" x14ac:dyDescent="0.45">
      <c r="B161" t="s">
        <v>418</v>
      </c>
      <c r="C161" s="256">
        <v>1419.25</v>
      </c>
      <c r="D161" s="123">
        <f t="shared" si="4"/>
        <v>-2.7263847997021085E-3</v>
      </c>
      <c r="E161" s="15"/>
      <c r="F161" s="256">
        <v>17208.75</v>
      </c>
      <c r="G161" s="123">
        <f t="shared" si="5"/>
        <v>-1.0442573036195224E-2</v>
      </c>
    </row>
    <row r="162" spans="2:7" x14ac:dyDescent="0.45">
      <c r="B162" s="189">
        <v>45148</v>
      </c>
      <c r="C162" s="256">
        <v>1423.13</v>
      </c>
      <c r="D162" s="123">
        <f t="shared" si="4"/>
        <v>-3.2154297100808638E-2</v>
      </c>
      <c r="E162" s="15"/>
      <c r="F162" s="256">
        <v>17390.349999999999</v>
      </c>
      <c r="G162" s="123">
        <f t="shared" si="5"/>
        <v>5.5945552111764663E-3</v>
      </c>
    </row>
    <row r="163" spans="2:7" x14ac:dyDescent="0.45">
      <c r="B163" s="189">
        <v>44936</v>
      </c>
      <c r="C163" s="256">
        <v>1470.41</v>
      </c>
      <c r="D163" s="123">
        <f t="shared" si="4"/>
        <v>3.0124491211354743E-2</v>
      </c>
      <c r="E163" s="15"/>
      <c r="F163" s="256">
        <v>17293.599999999999</v>
      </c>
      <c r="G163" s="123">
        <f t="shared" si="5"/>
        <v>5.7828203971599379E-5</v>
      </c>
    </row>
    <row r="164" spans="2:7" x14ac:dyDescent="0.45">
      <c r="B164" t="s">
        <v>417</v>
      </c>
      <c r="C164" s="256">
        <v>1427.41</v>
      </c>
      <c r="D164" s="123">
        <f t="shared" si="4"/>
        <v>-4.057078715123974E-2</v>
      </c>
      <c r="E164" s="15"/>
      <c r="F164" s="256">
        <v>17292.599999999999</v>
      </c>
      <c r="G164" s="123">
        <f t="shared" si="5"/>
        <v>1.8423248053391905E-3</v>
      </c>
    </row>
    <row r="165" spans="2:7" x14ac:dyDescent="0.45">
      <c r="B165" t="s">
        <v>416</v>
      </c>
      <c r="C165" s="256">
        <v>1487.77</v>
      </c>
      <c r="D165" s="123">
        <f t="shared" si="4"/>
        <v>-1.0218677027269862E-2</v>
      </c>
      <c r="E165" s="15"/>
      <c r="F165" s="256">
        <v>17260.8</v>
      </c>
      <c r="G165" s="123">
        <f t="shared" si="5"/>
        <v>-2.2925652956560127E-2</v>
      </c>
    </row>
    <row r="166" spans="2:7" x14ac:dyDescent="0.45">
      <c r="B166" s="189">
        <v>45208</v>
      </c>
      <c r="C166" s="256">
        <v>1503.13</v>
      </c>
      <c r="D166" s="123">
        <f t="shared" si="4"/>
        <v>2.8582963814529183E-2</v>
      </c>
      <c r="E166" s="15"/>
      <c r="F166" s="256">
        <v>17665.8</v>
      </c>
      <c r="G166" s="123">
        <f t="shared" si="5"/>
        <v>1.0198742526783322E-2</v>
      </c>
    </row>
    <row r="167" spans="2:7" x14ac:dyDescent="0.45">
      <c r="B167" s="189">
        <v>44994</v>
      </c>
      <c r="C167" s="256">
        <v>1461.36</v>
      </c>
      <c r="D167" s="123">
        <f t="shared" si="4"/>
        <v>1.7830278040898095E-2</v>
      </c>
      <c r="E167" s="15"/>
      <c r="F167" s="256">
        <v>17487.45</v>
      </c>
      <c r="G167" s="123">
        <f t="shared" si="5"/>
        <v>2.4182189281708899E-2</v>
      </c>
    </row>
    <row r="168" spans="2:7" x14ac:dyDescent="0.45">
      <c r="B168" t="s">
        <v>415</v>
      </c>
      <c r="C168" s="256">
        <v>1435.76</v>
      </c>
      <c r="D168" s="123">
        <f t="shared" si="4"/>
        <v>1.6726386902148338E-2</v>
      </c>
      <c r="E168" s="15"/>
      <c r="F168" s="256">
        <v>17074.55</v>
      </c>
      <c r="G168" s="123">
        <f t="shared" si="5"/>
        <v>1.5082472051055618E-2</v>
      </c>
    </row>
    <row r="169" spans="2:7" x14ac:dyDescent="0.45">
      <c r="B169" t="s">
        <v>414</v>
      </c>
      <c r="C169" s="256">
        <v>1412.14</v>
      </c>
      <c r="D169" s="123">
        <f t="shared" si="4"/>
        <v>2.2534069021447944E-2</v>
      </c>
      <c r="E169" s="15"/>
      <c r="F169" s="256">
        <v>16820.849999999999</v>
      </c>
      <c r="G169" s="123">
        <f t="shared" si="5"/>
        <v>3.7684169068545881E-3</v>
      </c>
    </row>
    <row r="170" spans="2:7" x14ac:dyDescent="0.45">
      <c r="B170" t="s">
        <v>413</v>
      </c>
      <c r="C170" s="256">
        <v>1381.02</v>
      </c>
      <c r="D170" s="123">
        <f t="shared" si="4"/>
        <v>1.2359254046446111E-2</v>
      </c>
      <c r="E170" s="15"/>
      <c r="F170" s="256">
        <v>16757.7</v>
      </c>
      <c r="G170" s="123">
        <f t="shared" si="5"/>
        <v>-6.0764583944983297E-3</v>
      </c>
    </row>
    <row r="171" spans="2:7" x14ac:dyDescent="0.45">
      <c r="B171" s="189">
        <v>45085</v>
      </c>
      <c r="C171" s="256">
        <v>1364.16</v>
      </c>
      <c r="D171" s="123">
        <f t="shared" si="4"/>
        <v>-4.7204570161166748E-3</v>
      </c>
      <c r="E171" s="15"/>
      <c r="F171" s="256">
        <v>16860.150000000001</v>
      </c>
      <c r="G171" s="123">
        <f t="shared" si="5"/>
        <v>-1.8027778764517777E-3</v>
      </c>
    </row>
    <row r="172" spans="2:7" x14ac:dyDescent="0.45">
      <c r="B172" t="s">
        <v>412</v>
      </c>
      <c r="C172" s="256">
        <v>1370.63</v>
      </c>
      <c r="D172" s="123">
        <f t="shared" si="4"/>
        <v>2.8237271097307559E-2</v>
      </c>
      <c r="E172" s="15"/>
      <c r="F172" s="256">
        <v>16890.599999999999</v>
      </c>
      <c r="G172" s="123">
        <f t="shared" si="5"/>
        <v>-3.4074113409270357E-3</v>
      </c>
    </row>
    <row r="173" spans="2:7" x14ac:dyDescent="0.45">
      <c r="B173" t="s">
        <v>411</v>
      </c>
      <c r="C173" s="256">
        <v>1332.99</v>
      </c>
      <c r="D173" s="123">
        <f t="shared" si="4"/>
        <v>6.6835833069009976E-3</v>
      </c>
      <c r="E173" s="15"/>
      <c r="F173" s="256">
        <v>16948.349999999999</v>
      </c>
      <c r="G173" s="123">
        <f t="shared" si="5"/>
        <v>2.6058458498725567E-3</v>
      </c>
    </row>
    <row r="174" spans="2:7" x14ac:dyDescent="0.45">
      <c r="B174" t="s">
        <v>410</v>
      </c>
      <c r="C174" s="256">
        <v>1324.14</v>
      </c>
      <c r="D174" s="123">
        <f t="shared" si="4"/>
        <v>-6.6165477164376929E-2</v>
      </c>
      <c r="E174" s="15"/>
      <c r="F174" s="256">
        <v>16904.3</v>
      </c>
      <c r="G174" s="123">
        <f t="shared" si="5"/>
        <v>8.2819131010500868E-3</v>
      </c>
    </row>
    <row r="175" spans="2:7" x14ac:dyDescent="0.45">
      <c r="B175" s="189">
        <v>45176</v>
      </c>
      <c r="C175" s="256">
        <v>1417.96</v>
      </c>
      <c r="D175" s="123">
        <f t="shared" si="4"/>
        <v>7.1978831978831925E-2</v>
      </c>
      <c r="E175" s="15"/>
      <c r="F175" s="256">
        <v>16765.45</v>
      </c>
      <c r="G175" s="123">
        <f t="shared" si="5"/>
        <v>1.2106924883337644E-2</v>
      </c>
    </row>
    <row r="176" spans="2:7" x14ac:dyDescent="0.45">
      <c r="B176" s="189">
        <v>44964</v>
      </c>
      <c r="C176" s="256">
        <v>1322.75</v>
      </c>
      <c r="D176" s="123">
        <f t="shared" si="4"/>
        <v>-3.9683137302148896E-3</v>
      </c>
      <c r="E176" s="15"/>
      <c r="F176" s="256">
        <v>16564.900000000001</v>
      </c>
      <c r="G176" s="123">
        <f t="shared" si="5"/>
        <v>8.2105903834450711E-3</v>
      </c>
    </row>
    <row r="177" spans="2:7" x14ac:dyDescent="0.45">
      <c r="B177" t="s">
        <v>409</v>
      </c>
      <c r="C177" s="256">
        <v>1328.02</v>
      </c>
      <c r="D177" s="123">
        <f t="shared" si="4"/>
        <v>5.5735306977446664E-2</v>
      </c>
      <c r="E177" s="15"/>
      <c r="F177" s="256">
        <v>16430</v>
      </c>
      <c r="G177" s="123">
        <f t="shared" si="5"/>
        <v>2.6118237799622745E-2</v>
      </c>
    </row>
    <row r="178" spans="2:7" x14ac:dyDescent="0.45">
      <c r="B178" t="s">
        <v>408</v>
      </c>
      <c r="C178" s="256">
        <v>1257.9100000000001</v>
      </c>
      <c r="D178" s="123">
        <f t="shared" si="4"/>
        <v>-2.0632041170654203E-2</v>
      </c>
      <c r="E178" s="15"/>
      <c r="F178" s="256">
        <v>16011.8</v>
      </c>
      <c r="G178" s="123">
        <f t="shared" si="5"/>
        <v>-1.0484227309666361E-2</v>
      </c>
    </row>
    <row r="179" spans="2:7" x14ac:dyDescent="0.45">
      <c r="B179" s="189">
        <v>45236</v>
      </c>
      <c r="C179" s="256">
        <v>1284.4100000000001</v>
      </c>
      <c r="D179" s="123">
        <f t="shared" si="4"/>
        <v>2.0296140952925867E-2</v>
      </c>
      <c r="E179" s="15"/>
      <c r="F179" s="256">
        <v>16181.45</v>
      </c>
      <c r="G179" s="123">
        <f t="shared" si="5"/>
        <v>1.914986080844483E-2</v>
      </c>
    </row>
    <row r="180" spans="2:7" x14ac:dyDescent="0.45">
      <c r="B180" s="189">
        <v>45022</v>
      </c>
      <c r="C180" s="256">
        <v>1258.8599999999999</v>
      </c>
      <c r="D180" s="123">
        <f t="shared" si="4"/>
        <v>-2.5438949617564321E-2</v>
      </c>
      <c r="E180" s="15"/>
      <c r="F180" s="256">
        <v>15877.4</v>
      </c>
      <c r="G180" s="123">
        <f t="shared" si="5"/>
        <v>4.1869054847196718E-3</v>
      </c>
    </row>
    <row r="181" spans="2:7" x14ac:dyDescent="0.45">
      <c r="B181" t="s">
        <v>407</v>
      </c>
      <c r="C181" s="256">
        <v>1291.72</v>
      </c>
      <c r="D181" s="123">
        <f t="shared" si="4"/>
        <v>-1.4006885128275526E-2</v>
      </c>
      <c r="E181" s="15"/>
      <c r="F181" s="256">
        <v>15811.2</v>
      </c>
      <c r="G181" s="123">
        <f t="shared" si="5"/>
        <v>7.2913182665201859E-3</v>
      </c>
    </row>
    <row r="182" spans="2:7" x14ac:dyDescent="0.45">
      <c r="B182" t="s">
        <v>406</v>
      </c>
      <c r="C182" s="256">
        <v>1310.07</v>
      </c>
      <c r="D182" s="123">
        <f t="shared" si="4"/>
        <v>3.8263102417993355E-2</v>
      </c>
      <c r="E182" s="15"/>
      <c r="F182" s="256">
        <v>15696.75</v>
      </c>
      <c r="G182" s="123">
        <f t="shared" si="5"/>
        <v>1.8770018594779891E-2</v>
      </c>
    </row>
    <row r="183" spans="2:7" x14ac:dyDescent="0.45">
      <c r="B183" t="s">
        <v>405</v>
      </c>
      <c r="C183" s="256">
        <v>1261.79</v>
      </c>
      <c r="D183" s="123">
        <f t="shared" si="4"/>
        <v>1.9035389510749345E-2</v>
      </c>
      <c r="E183" s="15"/>
      <c r="F183" s="256">
        <v>15407.55</v>
      </c>
      <c r="G183" s="123">
        <f t="shared" si="5"/>
        <v>-4.509815956866059E-3</v>
      </c>
    </row>
    <row r="184" spans="2:7" x14ac:dyDescent="0.45">
      <c r="B184" s="189">
        <v>45112</v>
      </c>
      <c r="C184" s="256">
        <v>1238.22</v>
      </c>
      <c r="D184" s="123">
        <f t="shared" si="4"/>
        <v>-1.1037986006836809E-2</v>
      </c>
      <c r="E184" s="15"/>
      <c r="F184" s="256">
        <v>15477.35</v>
      </c>
      <c r="G184" s="123">
        <f t="shared" si="5"/>
        <v>1.3008390821148463E-2</v>
      </c>
    </row>
    <row r="185" spans="2:7" x14ac:dyDescent="0.45">
      <c r="B185" t="s">
        <v>404</v>
      </c>
      <c r="C185" s="256">
        <v>1252.04</v>
      </c>
      <c r="D185" s="123">
        <f t="shared" si="4"/>
        <v>5.065303075305172E-3</v>
      </c>
      <c r="E185" s="15"/>
      <c r="F185" s="256">
        <v>15278.6</v>
      </c>
      <c r="G185" s="123">
        <f t="shared" si="5"/>
        <v>3.8798781829949558E-3</v>
      </c>
    </row>
    <row r="186" spans="2:7" x14ac:dyDescent="0.45">
      <c r="B186" t="s">
        <v>403</v>
      </c>
      <c r="C186" s="256">
        <v>1245.73</v>
      </c>
      <c r="D186" s="123">
        <f t="shared" si="4"/>
        <v>2.0696944619695623E-2</v>
      </c>
      <c r="E186" s="15"/>
      <c r="F186" s="256">
        <v>15219.55</v>
      </c>
      <c r="G186" s="123">
        <f t="shared" si="5"/>
        <v>2.508570697307877E-2</v>
      </c>
    </row>
    <row r="187" spans="2:7" x14ac:dyDescent="0.45">
      <c r="B187" t="s">
        <v>402</v>
      </c>
      <c r="C187" s="256">
        <v>1220.47</v>
      </c>
      <c r="D187" s="123">
        <f t="shared" si="4"/>
        <v>-0.11651054711818276</v>
      </c>
      <c r="E187" s="15"/>
      <c r="F187" s="256">
        <v>14847.1</v>
      </c>
      <c r="G187" s="123">
        <f t="shared" si="5"/>
        <v>-7.1651871541534851E-3</v>
      </c>
    </row>
    <row r="188" spans="2:7" x14ac:dyDescent="0.45">
      <c r="B188" s="189">
        <v>45173</v>
      </c>
      <c r="C188" s="256">
        <v>1381.42</v>
      </c>
      <c r="D188" s="123">
        <f t="shared" si="4"/>
        <v>-2.2992651687141485E-2</v>
      </c>
      <c r="E188" s="15"/>
      <c r="F188" s="256">
        <v>14954.25</v>
      </c>
      <c r="G188" s="123">
        <f t="shared" si="5"/>
        <v>1.3215485934196858E-2</v>
      </c>
    </row>
    <row r="189" spans="2:7" x14ac:dyDescent="0.45">
      <c r="B189" s="189">
        <v>44961</v>
      </c>
      <c r="C189" s="256">
        <v>1413.93</v>
      </c>
      <c r="D189" s="123">
        <f t="shared" si="4"/>
        <v>-4.2395859009120018E-3</v>
      </c>
      <c r="E189" s="15"/>
      <c r="F189" s="256">
        <v>14759.2</v>
      </c>
      <c r="G189" s="123">
        <f t="shared" si="5"/>
        <v>1.3831025872639291E-2</v>
      </c>
    </row>
    <row r="190" spans="2:7" x14ac:dyDescent="0.45">
      <c r="B190" t="s">
        <v>401</v>
      </c>
      <c r="C190" s="256">
        <v>1419.95</v>
      </c>
      <c r="D190" s="123">
        <f t="shared" si="4"/>
        <v>3.4262988833936747E-2</v>
      </c>
      <c r="E190" s="15"/>
      <c r="F190" s="256">
        <v>14557.85</v>
      </c>
      <c r="G190" s="123">
        <f t="shared" si="5"/>
        <v>1.9528678478885064E-2</v>
      </c>
    </row>
    <row r="191" spans="2:7" x14ac:dyDescent="0.45">
      <c r="B191" t="s">
        <v>400</v>
      </c>
      <c r="C191" s="256">
        <v>1372.91</v>
      </c>
      <c r="D191" s="123">
        <f t="shared" si="4"/>
        <v>-2.819343969874144E-2</v>
      </c>
      <c r="E191" s="15"/>
      <c r="F191" s="256">
        <v>14279</v>
      </c>
      <c r="G191" s="123">
        <f t="shared" si="5"/>
        <v>-9.8364520815347189E-3</v>
      </c>
    </row>
    <row r="192" spans="2:7" x14ac:dyDescent="0.45">
      <c r="B192" s="189">
        <v>45263</v>
      </c>
      <c r="C192" s="256">
        <v>1412.74</v>
      </c>
      <c r="D192" s="123">
        <f t="shared" si="4"/>
        <v>-3.4552039909792942E-2</v>
      </c>
      <c r="E192" s="15"/>
      <c r="F192" s="256">
        <v>14420.85</v>
      </c>
      <c r="G192" s="123">
        <f t="shared" si="5"/>
        <v>-1.7643232049373792E-2</v>
      </c>
    </row>
    <row r="193" spans="2:7" x14ac:dyDescent="0.45">
      <c r="B193" s="189">
        <v>45049</v>
      </c>
      <c r="C193" s="256">
        <v>1463.3</v>
      </c>
      <c r="D193" s="123">
        <f t="shared" si="4"/>
        <v>-5.2412967960788759E-3</v>
      </c>
      <c r="E193" s="15"/>
      <c r="F193" s="256">
        <v>14679.85</v>
      </c>
      <c r="G193" s="123">
        <f t="shared" si="5"/>
        <v>-6.423120526574011E-3</v>
      </c>
    </row>
    <row r="194" spans="2:7" x14ac:dyDescent="0.45">
      <c r="B194" t="s">
        <v>399</v>
      </c>
      <c r="C194" s="256">
        <v>1471.01</v>
      </c>
      <c r="D194" s="123">
        <f t="shared" si="4"/>
        <v>-4.6012866741030889E-2</v>
      </c>
      <c r="E194" s="15"/>
      <c r="F194" s="256">
        <v>14774.75</v>
      </c>
      <c r="G194" s="123">
        <f t="shared" si="5"/>
        <v>9.8629912272008013E-3</v>
      </c>
    </row>
    <row r="195" spans="2:7" x14ac:dyDescent="0.45">
      <c r="B195" t="s">
        <v>398</v>
      </c>
      <c r="C195" s="256">
        <v>1541.96</v>
      </c>
      <c r="D195" s="123">
        <f t="shared" si="4"/>
        <v>-2.0928047138902284E-2</v>
      </c>
      <c r="E195" s="15"/>
      <c r="F195" s="256">
        <v>14630.45</v>
      </c>
      <c r="G195" s="123">
        <f t="shared" si="5"/>
        <v>-2.4893444726222125E-2</v>
      </c>
    </row>
    <row r="196" spans="2:7" x14ac:dyDescent="0.45">
      <c r="B196" s="189">
        <v>45262</v>
      </c>
      <c r="C196" s="256">
        <v>1574.92</v>
      </c>
      <c r="D196" s="123">
        <f t="shared" ref="D196:D259" si="6">IFERROR((C196/C197)-1,0)</f>
        <v>-1.5391925178488752E-2</v>
      </c>
      <c r="E196" s="15"/>
      <c r="F196" s="256">
        <v>15003.95</v>
      </c>
      <c r="G196" s="123">
        <f t="shared" ref="G196:G259" si="7">IFERROR((F196/F197)-1,0)</f>
        <v>-7.9249592930130675E-4</v>
      </c>
    </row>
    <row r="197" spans="2:7" x14ac:dyDescent="0.45">
      <c r="B197" s="189">
        <v>45048</v>
      </c>
      <c r="C197" s="256">
        <v>1599.54</v>
      </c>
      <c r="D197" s="123">
        <f t="shared" si="6"/>
        <v>5.7216870803047382E-3</v>
      </c>
      <c r="E197" s="15"/>
      <c r="F197" s="256">
        <v>15015.85</v>
      </c>
      <c r="G197" s="123">
        <f t="shared" si="7"/>
        <v>3.5756415268992647E-3</v>
      </c>
    </row>
    <row r="198" spans="2:7" x14ac:dyDescent="0.45">
      <c r="B198" t="s">
        <v>397</v>
      </c>
      <c r="C198" s="256">
        <v>1590.44</v>
      </c>
      <c r="D198" s="123">
        <f t="shared" si="6"/>
        <v>5.2825292591219597E-2</v>
      </c>
      <c r="E198" s="15"/>
      <c r="F198" s="256">
        <v>14962.35</v>
      </c>
      <c r="G198" s="123">
        <f t="shared" si="7"/>
        <v>5.889174607976555E-3</v>
      </c>
    </row>
    <row r="199" spans="2:7" x14ac:dyDescent="0.45">
      <c r="B199" t="s">
        <v>396</v>
      </c>
      <c r="C199" s="256">
        <v>1510.64</v>
      </c>
      <c r="D199" s="123">
        <f t="shared" si="6"/>
        <v>-4.1924851680948949E-3</v>
      </c>
      <c r="E199" s="15"/>
      <c r="F199" s="256">
        <v>14874.75</v>
      </c>
      <c r="G199" s="123">
        <f t="shared" si="7"/>
        <v>-3.0828321789951652E-2</v>
      </c>
    </row>
    <row r="200" spans="2:7" x14ac:dyDescent="0.45">
      <c r="B200" t="s">
        <v>395</v>
      </c>
      <c r="C200" s="256">
        <v>1517</v>
      </c>
      <c r="D200" s="123">
        <f t="shared" si="6"/>
        <v>1.456641831971206E-2</v>
      </c>
      <c r="E200" s="15"/>
      <c r="F200" s="256">
        <v>15347.9</v>
      </c>
      <c r="G200" s="123">
        <f t="shared" si="7"/>
        <v>1.1729364463941572E-4</v>
      </c>
    </row>
    <row r="201" spans="2:7" x14ac:dyDescent="0.45">
      <c r="B201" s="189">
        <v>45139</v>
      </c>
      <c r="C201" s="256">
        <v>1495.22</v>
      </c>
      <c r="D201" s="123">
        <f t="shared" si="6"/>
        <v>3.8073286216137259E-2</v>
      </c>
      <c r="E201" s="15"/>
      <c r="F201" s="256">
        <v>15346.1</v>
      </c>
      <c r="G201" s="123">
        <f t="shared" si="7"/>
        <v>4.8520167627030819E-3</v>
      </c>
    </row>
    <row r="202" spans="2:7" x14ac:dyDescent="0.45">
      <c r="B202" s="189">
        <v>44927</v>
      </c>
      <c r="C202" s="256">
        <v>1440.38</v>
      </c>
      <c r="D202" s="123">
        <f t="shared" si="6"/>
        <v>-3.9586597766294362E-2</v>
      </c>
      <c r="E202" s="15"/>
      <c r="F202" s="256">
        <v>15272</v>
      </c>
      <c r="G202" s="123">
        <f t="shared" si="7"/>
        <v>-1.1447454017612935E-2</v>
      </c>
    </row>
    <row r="203" spans="2:7" x14ac:dyDescent="0.45">
      <c r="B203" t="s">
        <v>394</v>
      </c>
      <c r="C203" s="256">
        <v>1499.75</v>
      </c>
      <c r="D203" s="123">
        <f t="shared" si="6"/>
        <v>7.4158163779378672E-3</v>
      </c>
      <c r="E203" s="15"/>
      <c r="F203" s="256">
        <v>15448.85</v>
      </c>
      <c r="G203" s="123">
        <f t="shared" si="7"/>
        <v>2.6774558022065742E-2</v>
      </c>
    </row>
    <row r="204" spans="2:7" x14ac:dyDescent="0.45">
      <c r="B204" t="s">
        <v>393</v>
      </c>
      <c r="C204" s="256">
        <v>1488.71</v>
      </c>
      <c r="D204" s="123">
        <f t="shared" si="6"/>
        <v>-1.6489723651786692E-2</v>
      </c>
      <c r="E204" s="15"/>
      <c r="F204" s="256">
        <v>15046</v>
      </c>
      <c r="G204" s="123">
        <f t="shared" si="7"/>
        <v>-3.7754974786315287E-2</v>
      </c>
    </row>
    <row r="205" spans="2:7" x14ac:dyDescent="0.45">
      <c r="B205" s="189">
        <v>44877</v>
      </c>
      <c r="C205" s="256">
        <v>1513.67</v>
      </c>
      <c r="D205" s="123">
        <f t="shared" si="6"/>
        <v>-3.001582815874293E-2</v>
      </c>
      <c r="E205" s="15"/>
      <c r="F205" s="256">
        <v>15636.35</v>
      </c>
      <c r="G205" s="123">
        <f t="shared" si="7"/>
        <v>-1.1155554852887661E-2</v>
      </c>
    </row>
    <row r="206" spans="2:7" x14ac:dyDescent="0.45">
      <c r="B206" s="189">
        <v>44663</v>
      </c>
      <c r="C206" s="256">
        <v>1560.51</v>
      </c>
      <c r="D206" s="123">
        <f t="shared" si="6"/>
        <v>-4.1879512746205605E-2</v>
      </c>
      <c r="E206" s="15"/>
      <c r="F206" s="256">
        <v>15812.75</v>
      </c>
      <c r="G206" s="123">
        <f t="shared" si="7"/>
        <v>-9.4434177968490962E-3</v>
      </c>
    </row>
    <row r="207" spans="2:7" x14ac:dyDescent="0.45">
      <c r="B207" t="s">
        <v>392</v>
      </c>
      <c r="C207" s="256">
        <v>1628.72</v>
      </c>
      <c r="D207" s="123">
        <f t="shared" si="6"/>
        <v>1.3772072205007202E-3</v>
      </c>
      <c r="E207" s="15"/>
      <c r="F207" s="256">
        <v>15963.5</v>
      </c>
      <c r="G207" s="123">
        <f t="shared" si="7"/>
        <v>1.5021698008234052E-2</v>
      </c>
    </row>
    <row r="208" spans="2:7" x14ac:dyDescent="0.45">
      <c r="B208" t="s">
        <v>391</v>
      </c>
      <c r="C208" s="256">
        <v>1626.48</v>
      </c>
      <c r="D208" s="123">
        <f t="shared" si="6"/>
        <v>2.6513597606770745E-2</v>
      </c>
      <c r="E208" s="15"/>
      <c r="F208" s="256">
        <v>15727.25</v>
      </c>
      <c r="G208" s="123">
        <f t="shared" si="7"/>
        <v>1.1343431387994762E-2</v>
      </c>
    </row>
    <row r="209" spans="2:7" x14ac:dyDescent="0.45">
      <c r="B209" t="s">
        <v>390</v>
      </c>
      <c r="C209" s="256">
        <v>1584.47</v>
      </c>
      <c r="D209" s="123">
        <f t="shared" si="6"/>
        <v>1.4840197271504652E-2</v>
      </c>
      <c r="E209" s="15"/>
      <c r="F209" s="256">
        <v>15550.85</v>
      </c>
      <c r="G209" s="123">
        <f t="shared" si="7"/>
        <v>-6.2783163249005014E-3</v>
      </c>
    </row>
    <row r="210" spans="2:7" x14ac:dyDescent="0.45">
      <c r="B210" s="189">
        <v>44723</v>
      </c>
      <c r="C210" s="256">
        <v>1561.3</v>
      </c>
      <c r="D210" s="123">
        <f t="shared" si="6"/>
        <v>3.7050321483606874E-2</v>
      </c>
      <c r="E210" s="15"/>
      <c r="F210" s="256">
        <v>15649.1</v>
      </c>
      <c r="G210" s="123">
        <f t="shared" si="7"/>
        <v>7.6138781843877457E-3</v>
      </c>
    </row>
    <row r="211" spans="2:7" x14ac:dyDescent="0.45">
      <c r="B211" t="s">
        <v>389</v>
      </c>
      <c r="C211" s="256">
        <v>1505.52</v>
      </c>
      <c r="D211" s="123">
        <f t="shared" si="6"/>
        <v>4.9841504017233973E-4</v>
      </c>
      <c r="E211" s="15"/>
      <c r="F211" s="256">
        <v>15530.85</v>
      </c>
      <c r="G211" s="123">
        <f t="shared" si="7"/>
        <v>1.8977666386731151E-2</v>
      </c>
    </row>
    <row r="212" spans="2:7" x14ac:dyDescent="0.45">
      <c r="B212" t="s">
        <v>388</v>
      </c>
      <c r="C212" s="256">
        <v>1504.77</v>
      </c>
      <c r="D212" s="123">
        <f t="shared" si="6"/>
        <v>8.4981468946243588E-3</v>
      </c>
      <c r="E212" s="15"/>
      <c r="F212" s="256">
        <v>15241.6</v>
      </c>
      <c r="G212" s="123">
        <f t="shared" si="7"/>
        <v>1.0642459767523649E-2</v>
      </c>
    </row>
    <row r="213" spans="2:7" x14ac:dyDescent="0.45">
      <c r="B213" t="s">
        <v>387</v>
      </c>
      <c r="C213" s="256">
        <v>1492.09</v>
      </c>
      <c r="D213" s="123">
        <f t="shared" si="6"/>
        <v>1.7803668510699255E-2</v>
      </c>
      <c r="E213" s="15"/>
      <c r="F213" s="256">
        <v>15081.1</v>
      </c>
      <c r="G213" s="123">
        <f t="shared" si="7"/>
        <v>1.7954654372903223E-2</v>
      </c>
    </row>
    <row r="214" spans="2:7" x14ac:dyDescent="0.45">
      <c r="B214" s="189">
        <v>44814</v>
      </c>
      <c r="C214" s="256">
        <v>1465.99</v>
      </c>
      <c r="D214" s="123">
        <f t="shared" si="6"/>
        <v>1.5882805407915201E-2</v>
      </c>
      <c r="E214" s="15"/>
      <c r="F214" s="256">
        <v>14815.1</v>
      </c>
      <c r="G214" s="123">
        <f t="shared" si="7"/>
        <v>-1.4737276131066013E-2</v>
      </c>
    </row>
    <row r="215" spans="2:7" x14ac:dyDescent="0.45">
      <c r="B215" s="189">
        <v>44602</v>
      </c>
      <c r="C215" s="256">
        <v>1443.07</v>
      </c>
      <c r="D215" s="123">
        <f t="shared" si="6"/>
        <v>2.6708786009548069E-2</v>
      </c>
      <c r="E215" s="15"/>
      <c r="F215" s="256">
        <v>15036.7</v>
      </c>
      <c r="G215" s="123">
        <f t="shared" si="7"/>
        <v>1.3982406511411583E-2</v>
      </c>
    </row>
    <row r="216" spans="2:7" x14ac:dyDescent="0.45">
      <c r="B216" t="s">
        <v>386</v>
      </c>
      <c r="C216" s="256">
        <v>1405.53</v>
      </c>
      <c r="D216" s="123">
        <f t="shared" si="6"/>
        <v>3.5152452496685749E-2</v>
      </c>
      <c r="E216" s="15"/>
      <c r="F216" s="256">
        <v>14829.35</v>
      </c>
      <c r="G216" s="123">
        <f t="shared" si="7"/>
        <v>-1.5161728423757959E-2</v>
      </c>
    </row>
    <row r="217" spans="2:7" x14ac:dyDescent="0.45">
      <c r="B217" t="s">
        <v>385</v>
      </c>
      <c r="C217" s="256">
        <v>1357.8</v>
      </c>
      <c r="D217" s="123">
        <f t="shared" si="6"/>
        <v>-8.4201762905946609E-3</v>
      </c>
      <c r="E217" s="15"/>
      <c r="F217" s="256">
        <v>15057.65</v>
      </c>
      <c r="G217" s="123">
        <f t="shared" si="7"/>
        <v>-1.2221241869725397E-2</v>
      </c>
    </row>
    <row r="218" spans="2:7" x14ac:dyDescent="0.45">
      <c r="B218" s="189">
        <v>44874</v>
      </c>
      <c r="C218" s="256">
        <v>1369.33</v>
      </c>
      <c r="D218" s="123">
        <f t="shared" si="6"/>
        <v>-8.9044558868532131E-2</v>
      </c>
      <c r="E218" s="15"/>
      <c r="F218" s="256">
        <v>15243.95</v>
      </c>
      <c r="G218" s="123">
        <f t="shared" si="7"/>
        <v>-1.4446513311868747E-2</v>
      </c>
    </row>
    <row r="219" spans="2:7" x14ac:dyDescent="0.45">
      <c r="B219" s="189">
        <v>44660</v>
      </c>
      <c r="C219" s="256">
        <v>1503.18</v>
      </c>
      <c r="D219" s="123">
        <f t="shared" si="6"/>
        <v>4.0363772268593667E-2</v>
      </c>
      <c r="E219" s="15"/>
      <c r="F219" s="256">
        <v>15467.4</v>
      </c>
      <c r="G219" s="123">
        <f t="shared" si="7"/>
        <v>1.7485001578781079E-2</v>
      </c>
    </row>
    <row r="220" spans="2:7" x14ac:dyDescent="0.45">
      <c r="B220" t="s">
        <v>384</v>
      </c>
      <c r="C220" s="256">
        <v>1444.86</v>
      </c>
      <c r="D220" s="123">
        <f t="shared" si="6"/>
        <v>-4.5048974897886396E-2</v>
      </c>
      <c r="E220" s="15"/>
      <c r="F220" s="256">
        <v>15201.6</v>
      </c>
      <c r="G220" s="123">
        <f t="shared" si="7"/>
        <v>3.5682338067872799E-3</v>
      </c>
    </row>
    <row r="221" spans="2:7" x14ac:dyDescent="0.45">
      <c r="B221" t="s">
        <v>383</v>
      </c>
      <c r="C221" s="256">
        <v>1513.02</v>
      </c>
      <c r="D221" s="123">
        <f t="shared" si="6"/>
        <v>-4.7306614614488596E-2</v>
      </c>
      <c r="E221" s="15"/>
      <c r="F221" s="256">
        <v>15147.55</v>
      </c>
      <c r="G221" s="123">
        <f t="shared" si="7"/>
        <v>-5.8477421217918435E-3</v>
      </c>
    </row>
    <row r="222" spans="2:7" x14ac:dyDescent="0.45">
      <c r="B222" t="s">
        <v>382</v>
      </c>
      <c r="C222" s="256">
        <v>1588.15</v>
      </c>
      <c r="D222" s="123">
        <f t="shared" si="6"/>
        <v>1.8799245506790907E-3</v>
      </c>
      <c r="E222" s="15"/>
      <c r="F222" s="256">
        <v>15236.65</v>
      </c>
      <c r="G222" s="123">
        <f t="shared" si="7"/>
        <v>6.3471934639098837E-3</v>
      </c>
    </row>
    <row r="223" spans="2:7" x14ac:dyDescent="0.45">
      <c r="B223" s="189">
        <v>44750</v>
      </c>
      <c r="C223" s="256">
        <v>1585.17</v>
      </c>
      <c r="D223" s="123">
        <f t="shared" si="6"/>
        <v>-1.3946342039947934E-2</v>
      </c>
      <c r="E223" s="15"/>
      <c r="F223" s="256">
        <v>15140.55</v>
      </c>
      <c r="G223" s="123">
        <f t="shared" si="7"/>
        <v>1.6117016992832411E-2</v>
      </c>
    </row>
    <row r="224" spans="2:7" x14ac:dyDescent="0.45">
      <c r="B224" t="s">
        <v>381</v>
      </c>
      <c r="C224" s="256">
        <v>1607.59</v>
      </c>
      <c r="D224" s="123">
        <f t="shared" si="6"/>
        <v>4.319866062737665E-2</v>
      </c>
      <c r="E224" s="15"/>
      <c r="F224" s="256">
        <v>14900.4</v>
      </c>
      <c r="G224" s="123">
        <f t="shared" si="7"/>
        <v>1.6006791379856944E-2</v>
      </c>
    </row>
    <row r="225" spans="2:7" x14ac:dyDescent="0.45">
      <c r="B225" t="s">
        <v>380</v>
      </c>
      <c r="C225" s="256">
        <v>1541.02</v>
      </c>
      <c r="D225" s="123">
        <f t="shared" si="6"/>
        <v>2.8814441937163648E-2</v>
      </c>
      <c r="E225" s="15"/>
      <c r="F225" s="256">
        <v>14665.65</v>
      </c>
      <c r="G225" s="123">
        <f t="shared" si="7"/>
        <v>2.2951745881171215E-2</v>
      </c>
    </row>
    <row r="226" spans="2:7" x14ac:dyDescent="0.45">
      <c r="B226" t="s">
        <v>379</v>
      </c>
      <c r="C226" s="256">
        <v>1497.86</v>
      </c>
      <c r="D226" s="123">
        <f t="shared" si="6"/>
        <v>5.310300703774784E-2</v>
      </c>
      <c r="E226" s="15"/>
      <c r="F226" s="256">
        <v>14336.6</v>
      </c>
      <c r="G226" s="123">
        <f t="shared" si="7"/>
        <v>3.9622340502675879E-2</v>
      </c>
    </row>
    <row r="227" spans="2:7" x14ac:dyDescent="0.45">
      <c r="B227" s="189">
        <v>44841</v>
      </c>
      <c r="C227" s="256">
        <v>1422.33</v>
      </c>
      <c r="D227" s="123">
        <f t="shared" si="6"/>
        <v>-5.5532683471008593E-2</v>
      </c>
      <c r="E227" s="15"/>
      <c r="F227" s="256">
        <v>13790.2</v>
      </c>
      <c r="G227" s="123">
        <f t="shared" si="7"/>
        <v>-2.7516135447362977E-3</v>
      </c>
    </row>
    <row r="228" spans="2:7" x14ac:dyDescent="0.45">
      <c r="B228" s="189">
        <v>44627</v>
      </c>
      <c r="C228" s="256">
        <v>1505.96</v>
      </c>
      <c r="D228" s="123">
        <f t="shared" si="6"/>
        <v>2.3689594931718405E-2</v>
      </c>
      <c r="E228" s="15"/>
      <c r="F228" s="256">
        <v>13828.25</v>
      </c>
      <c r="G228" s="123">
        <f t="shared" si="7"/>
        <v>3.2386548159872186E-2</v>
      </c>
    </row>
    <row r="229" spans="2:7" x14ac:dyDescent="0.45">
      <c r="B229" t="s">
        <v>378</v>
      </c>
      <c r="C229" s="256">
        <v>1471.11</v>
      </c>
      <c r="D229" s="123">
        <f t="shared" si="6"/>
        <v>2.6580229166375924E-2</v>
      </c>
      <c r="E229" s="15"/>
      <c r="F229" s="256">
        <v>13394.45</v>
      </c>
      <c r="G229" s="123">
        <f t="shared" si="7"/>
        <v>5.4006380183899694E-3</v>
      </c>
    </row>
    <row r="230" spans="2:7" x14ac:dyDescent="0.45">
      <c r="B230" t="s">
        <v>377</v>
      </c>
      <c r="C230" s="256">
        <v>1433.02</v>
      </c>
      <c r="D230" s="123">
        <f t="shared" si="6"/>
        <v>3.8774075228519944E-2</v>
      </c>
      <c r="E230" s="15"/>
      <c r="F230" s="256">
        <v>13322.5</v>
      </c>
      <c r="G230" s="123">
        <f t="shared" si="7"/>
        <v>2.522172415783297E-2</v>
      </c>
    </row>
    <row r="231" spans="2:7" x14ac:dyDescent="0.45">
      <c r="B231" s="189">
        <v>44901</v>
      </c>
      <c r="C231" s="256">
        <v>1379.53</v>
      </c>
      <c r="D231" s="123">
        <f t="shared" si="6"/>
        <v>-6.059842562580009E-2</v>
      </c>
      <c r="E231" s="15"/>
      <c r="F231" s="256">
        <v>12994.75</v>
      </c>
      <c r="G231" s="123">
        <f t="shared" si="7"/>
        <v>-5.7104504144974366E-2</v>
      </c>
    </row>
    <row r="232" spans="2:7" x14ac:dyDescent="0.45">
      <c r="B232" s="189">
        <v>44687</v>
      </c>
      <c r="C232" s="256">
        <v>1468.52</v>
      </c>
      <c r="D232" s="123">
        <f t="shared" si="6"/>
        <v>-2.9507590026236374E-2</v>
      </c>
      <c r="E232" s="15"/>
      <c r="F232" s="256">
        <v>13781.75</v>
      </c>
      <c r="G232" s="123">
        <f t="shared" si="7"/>
        <v>-2.1036518230701962E-2</v>
      </c>
    </row>
    <row r="233" spans="2:7" x14ac:dyDescent="0.45">
      <c r="B233" t="s">
        <v>376</v>
      </c>
      <c r="C233" s="256">
        <v>1513.17</v>
      </c>
      <c r="D233" s="123">
        <f t="shared" si="6"/>
        <v>4.1296209639681836E-2</v>
      </c>
      <c r="E233" s="15"/>
      <c r="F233" s="256">
        <v>14077.9</v>
      </c>
      <c r="G233" s="123">
        <f t="shared" si="7"/>
        <v>1.4758724586701577E-2</v>
      </c>
    </row>
    <row r="234" spans="2:7" x14ac:dyDescent="0.45">
      <c r="B234" t="s">
        <v>375</v>
      </c>
      <c r="C234" s="256">
        <v>1453.16</v>
      </c>
      <c r="D234" s="123">
        <f t="shared" si="6"/>
        <v>4.2640239393501034E-3</v>
      </c>
      <c r="E234" s="15"/>
      <c r="F234" s="256">
        <v>13873.15</v>
      </c>
      <c r="G234" s="123">
        <f t="shared" si="7"/>
        <v>-1.5761008416665945E-3</v>
      </c>
    </row>
    <row r="235" spans="2:7" x14ac:dyDescent="0.45">
      <c r="B235" t="s">
        <v>374</v>
      </c>
      <c r="C235" s="256">
        <v>1446.99</v>
      </c>
      <c r="D235" s="123">
        <f t="shared" si="6"/>
        <v>-3.2741298288067266E-2</v>
      </c>
      <c r="E235" s="15"/>
      <c r="F235" s="256">
        <v>13895.05</v>
      </c>
      <c r="G235" s="123">
        <f t="shared" si="7"/>
        <v>3.1440448353932338E-2</v>
      </c>
    </row>
    <row r="236" spans="2:7" x14ac:dyDescent="0.45">
      <c r="B236" s="189">
        <v>44778</v>
      </c>
      <c r="C236" s="256">
        <v>1495.97</v>
      </c>
      <c r="D236" s="123">
        <f t="shared" si="6"/>
        <v>-2.4918524312345203E-2</v>
      </c>
      <c r="E236" s="15"/>
      <c r="F236" s="256">
        <v>13471.5</v>
      </c>
      <c r="G236" s="123">
        <f t="shared" si="7"/>
        <v>-4.7664492868882857E-2</v>
      </c>
    </row>
    <row r="237" spans="2:7" x14ac:dyDescent="0.45">
      <c r="B237" s="189">
        <v>44566</v>
      </c>
      <c r="C237" s="256">
        <v>1534.2</v>
      </c>
      <c r="D237" s="123">
        <f t="shared" si="6"/>
        <v>-1.576242806828454E-2</v>
      </c>
      <c r="E237" s="15"/>
      <c r="F237" s="256">
        <v>14145.75</v>
      </c>
      <c r="G237" s="123">
        <f t="shared" si="7"/>
        <v>-4.3129601883199697E-2</v>
      </c>
    </row>
    <row r="238" spans="2:7" x14ac:dyDescent="0.45">
      <c r="B238" t="s">
        <v>373</v>
      </c>
      <c r="C238" s="256">
        <v>1558.77</v>
      </c>
      <c r="D238" s="123">
        <f t="shared" si="6"/>
        <v>-1.1284061500989484E-2</v>
      </c>
      <c r="E238" s="15"/>
      <c r="F238" s="256">
        <v>14783.35</v>
      </c>
      <c r="G238" s="123">
        <f t="shared" si="7"/>
        <v>-7.4858088533956701E-3</v>
      </c>
    </row>
    <row r="239" spans="2:7" x14ac:dyDescent="0.45">
      <c r="B239" t="s">
        <v>372</v>
      </c>
      <c r="C239" s="256">
        <v>1576.56</v>
      </c>
      <c r="D239" s="123">
        <f t="shared" si="6"/>
        <v>-9.3279654924514732E-2</v>
      </c>
      <c r="E239" s="15"/>
      <c r="F239" s="256">
        <v>14894.85</v>
      </c>
      <c r="G239" s="123">
        <f t="shared" si="7"/>
        <v>-1.6097975037239309E-2</v>
      </c>
    </row>
    <row r="240" spans="2:7" x14ac:dyDescent="0.45">
      <c r="B240" s="189">
        <v>44838</v>
      </c>
      <c r="C240" s="256">
        <v>1738.75</v>
      </c>
      <c r="D240" s="123">
        <f t="shared" si="6"/>
        <v>-3.6399306152081312E-2</v>
      </c>
      <c r="E240" s="15"/>
      <c r="F240" s="256">
        <v>15138.55</v>
      </c>
      <c r="G240" s="123">
        <f t="shared" si="7"/>
        <v>-1.3286708728751706E-2</v>
      </c>
    </row>
    <row r="241" spans="2:7" x14ac:dyDescent="0.45">
      <c r="B241" s="189">
        <v>44624</v>
      </c>
      <c r="C241" s="256">
        <v>1804.43</v>
      </c>
      <c r="D241" s="123">
        <f t="shared" si="6"/>
        <v>-4.6727737627319188E-2</v>
      </c>
      <c r="E241" s="15"/>
      <c r="F241" s="256">
        <v>15342.4</v>
      </c>
      <c r="G241" s="123">
        <f t="shared" si="7"/>
        <v>1.6908260590032809E-2</v>
      </c>
    </row>
    <row r="242" spans="2:7" x14ac:dyDescent="0.45">
      <c r="B242" t="s">
        <v>371</v>
      </c>
      <c r="C242" s="256">
        <v>1892.88</v>
      </c>
      <c r="D242" s="123">
        <f t="shared" si="6"/>
        <v>1.4388836192344323E-2</v>
      </c>
      <c r="E242" s="15"/>
      <c r="F242" s="256">
        <v>15087.3</v>
      </c>
      <c r="G242" s="123">
        <f t="shared" si="7"/>
        <v>2.9730338459018402E-2</v>
      </c>
    </row>
    <row r="243" spans="2:7" x14ac:dyDescent="0.45">
      <c r="B243" t="s">
        <v>370</v>
      </c>
      <c r="C243" s="256">
        <v>1866.03</v>
      </c>
      <c r="D243" s="123">
        <f t="shared" si="6"/>
        <v>1.1831624381171357E-2</v>
      </c>
      <c r="E243" s="15"/>
      <c r="F243" s="256">
        <v>14651.7</v>
      </c>
      <c r="G243" s="123">
        <f t="shared" si="7"/>
        <v>-4.7548856450002619E-3</v>
      </c>
    </row>
    <row r="244" spans="2:7" x14ac:dyDescent="0.45">
      <c r="B244" t="s">
        <v>369</v>
      </c>
      <c r="C244" s="256">
        <v>1844.21</v>
      </c>
      <c r="D244" s="123">
        <f t="shared" si="6"/>
        <v>1.7893906026636763E-2</v>
      </c>
      <c r="E244" s="15"/>
      <c r="F244" s="256">
        <v>14721.7</v>
      </c>
      <c r="G244" s="123">
        <f t="shared" si="7"/>
        <v>3.4034199260385867E-2</v>
      </c>
    </row>
    <row r="245" spans="2:7" x14ac:dyDescent="0.45">
      <c r="B245" s="189">
        <v>44715</v>
      </c>
      <c r="C245" s="256">
        <v>1811.79</v>
      </c>
      <c r="D245" s="123">
        <f t="shared" si="6"/>
        <v>5.7275740528932584E-2</v>
      </c>
      <c r="E245" s="15"/>
      <c r="F245" s="256">
        <v>14237.15</v>
      </c>
      <c r="G245" s="123">
        <f t="shared" si="7"/>
        <v>2.4760403508203632E-2</v>
      </c>
    </row>
    <row r="246" spans="2:7" x14ac:dyDescent="0.45">
      <c r="B246" t="s">
        <v>368</v>
      </c>
      <c r="C246" s="256">
        <v>1713.64</v>
      </c>
      <c r="D246" s="123">
        <f t="shared" si="6"/>
        <v>1.6936680315708275E-2</v>
      </c>
      <c r="E246" s="15"/>
      <c r="F246" s="256">
        <v>13893.15</v>
      </c>
      <c r="G246" s="123">
        <f t="shared" si="7"/>
        <v>-2.074023429240035E-2</v>
      </c>
    </row>
    <row r="247" spans="2:7" x14ac:dyDescent="0.45">
      <c r="B247" t="s">
        <v>367</v>
      </c>
      <c r="C247" s="256">
        <v>1685.1</v>
      </c>
      <c r="D247" s="123">
        <f t="shared" si="6"/>
        <v>-7.2346793293194267E-3</v>
      </c>
      <c r="E247" s="15"/>
      <c r="F247" s="256">
        <v>14187.4</v>
      </c>
      <c r="G247" s="123">
        <f t="shared" si="7"/>
        <v>-3.5572746368289776E-2</v>
      </c>
    </row>
    <row r="248" spans="2:7" x14ac:dyDescent="0.45">
      <c r="B248" t="s">
        <v>366</v>
      </c>
      <c r="C248" s="256">
        <v>1697.38</v>
      </c>
      <c r="D248" s="123">
        <f t="shared" si="6"/>
        <v>-8.3659519775661773E-3</v>
      </c>
      <c r="E248" s="15"/>
      <c r="F248" s="256">
        <v>14710.7</v>
      </c>
      <c r="G248" s="123">
        <f t="shared" si="7"/>
        <v>-1.2127886752667516E-2</v>
      </c>
    </row>
    <row r="249" spans="2:7" x14ac:dyDescent="0.45">
      <c r="B249" s="189">
        <v>44714</v>
      </c>
      <c r="C249" s="256">
        <v>1711.7</v>
      </c>
      <c r="D249" s="123">
        <f t="shared" si="6"/>
        <v>-1.1343814617579384E-2</v>
      </c>
      <c r="E249" s="15"/>
      <c r="F249" s="256">
        <v>14891.3</v>
      </c>
      <c r="G249" s="123">
        <f t="shared" si="7"/>
        <v>-1.2870017135717005E-2</v>
      </c>
    </row>
    <row r="250" spans="2:7" x14ac:dyDescent="0.45">
      <c r="B250" t="s">
        <v>365</v>
      </c>
      <c r="C250" s="256">
        <v>1731.34</v>
      </c>
      <c r="D250" s="123">
        <f t="shared" si="6"/>
        <v>3.2557029968689477E-2</v>
      </c>
      <c r="E250" s="15"/>
      <c r="F250" s="256">
        <v>15085.45</v>
      </c>
      <c r="G250" s="123">
        <f t="shared" si="7"/>
        <v>2.4600546754283137E-2</v>
      </c>
    </row>
    <row r="251" spans="2:7" x14ac:dyDescent="0.45">
      <c r="B251" t="s">
        <v>364</v>
      </c>
      <c r="C251" s="256">
        <v>1676.75</v>
      </c>
      <c r="D251" s="123">
        <f t="shared" si="6"/>
        <v>-5.5719185218140566E-2</v>
      </c>
      <c r="E251" s="15"/>
      <c r="F251" s="256">
        <v>14723.25</v>
      </c>
      <c r="G251" s="123">
        <f t="shared" si="7"/>
        <v>-3.0140045320404707E-2</v>
      </c>
    </row>
    <row r="252" spans="2:7" x14ac:dyDescent="0.45">
      <c r="B252" t="s">
        <v>363</v>
      </c>
      <c r="C252" s="256">
        <v>1775.69</v>
      </c>
      <c r="D252" s="123">
        <f t="shared" si="6"/>
        <v>-7.4457660512681434E-2</v>
      </c>
      <c r="E252" s="15"/>
      <c r="F252" s="256">
        <v>15180.8</v>
      </c>
      <c r="G252" s="123">
        <f t="shared" si="7"/>
        <v>-3.4938717387987595E-2</v>
      </c>
    </row>
    <row r="253" spans="2:7" x14ac:dyDescent="0.45">
      <c r="B253" s="189">
        <v>44805</v>
      </c>
      <c r="C253" s="256">
        <v>1918.54</v>
      </c>
      <c r="D253" s="123">
        <f t="shared" si="6"/>
        <v>6.3415607522739448E-2</v>
      </c>
      <c r="E253" s="15"/>
      <c r="F253" s="256">
        <v>15730.4</v>
      </c>
      <c r="G253" s="123">
        <f t="shared" si="7"/>
        <v>2.4878571591453236E-2</v>
      </c>
    </row>
    <row r="254" spans="2:7" x14ac:dyDescent="0.45">
      <c r="B254" s="189">
        <v>44593</v>
      </c>
      <c r="C254" s="256">
        <v>1804.13</v>
      </c>
      <c r="D254" s="123">
        <f t="shared" si="6"/>
        <v>-3.8909635248805308E-2</v>
      </c>
      <c r="E254" s="15"/>
      <c r="F254" s="256">
        <v>15348.55</v>
      </c>
      <c r="G254" s="123">
        <f t="shared" si="7"/>
        <v>2.34959523079179E-2</v>
      </c>
    </row>
    <row r="255" spans="2:7" x14ac:dyDescent="0.45">
      <c r="B255" t="s">
        <v>362</v>
      </c>
      <c r="C255" s="256">
        <v>1877.17</v>
      </c>
      <c r="D255" s="123">
        <f t="shared" si="6"/>
        <v>1.3010911681219151E-2</v>
      </c>
      <c r="E255" s="15"/>
      <c r="F255" s="256">
        <v>14996.2</v>
      </c>
      <c r="G255" s="123">
        <f t="shared" si="7"/>
        <v>2.2598330696634195E-2</v>
      </c>
    </row>
    <row r="256" spans="2:7" x14ac:dyDescent="0.45">
      <c r="B256" t="s">
        <v>361</v>
      </c>
      <c r="C256" s="256">
        <v>1853.06</v>
      </c>
      <c r="D256" s="123">
        <f t="shared" si="6"/>
        <v>2.3422527821500561E-2</v>
      </c>
      <c r="E256" s="15"/>
      <c r="F256" s="256">
        <v>14664.8</v>
      </c>
      <c r="G256" s="123">
        <f t="shared" si="7"/>
        <v>-5.690666285017576E-4</v>
      </c>
    </row>
    <row r="257" spans="2:7" x14ac:dyDescent="0.45">
      <c r="B257" s="189">
        <v>44542</v>
      </c>
      <c r="C257" s="256">
        <v>1810.65</v>
      </c>
      <c r="D257" s="123">
        <f t="shared" si="6"/>
        <v>3.5017920532299796E-2</v>
      </c>
      <c r="E257" s="15"/>
      <c r="F257" s="256">
        <v>14673.15</v>
      </c>
      <c r="G257" s="123">
        <f t="shared" si="7"/>
        <v>-3.1794787198944241E-2</v>
      </c>
    </row>
    <row r="258" spans="2:7" x14ac:dyDescent="0.45">
      <c r="B258" s="189">
        <v>44328</v>
      </c>
      <c r="C258" s="256">
        <v>1749.39</v>
      </c>
      <c r="D258" s="123">
        <f t="shared" si="6"/>
        <v>1.3657275961572068E-2</v>
      </c>
      <c r="E258" s="15"/>
      <c r="F258" s="256">
        <v>15155</v>
      </c>
      <c r="G258" s="123">
        <f t="shared" si="7"/>
        <v>2.0105948318221989E-2</v>
      </c>
    </row>
    <row r="259" spans="2:7" x14ac:dyDescent="0.45">
      <c r="B259" t="s">
        <v>360</v>
      </c>
      <c r="C259" s="256">
        <v>1725.82</v>
      </c>
      <c r="D259" s="123">
        <f t="shared" si="6"/>
        <v>2.5948625882045162E-2</v>
      </c>
      <c r="E259" s="15"/>
      <c r="F259" s="256">
        <v>14856.3</v>
      </c>
      <c r="G259" s="123">
        <f t="shared" si="7"/>
        <v>1.0137891644908414E-2</v>
      </c>
    </row>
    <row r="260" spans="2:7" x14ac:dyDescent="0.45">
      <c r="B260" t="s">
        <v>359</v>
      </c>
      <c r="C260" s="256">
        <v>1682.17</v>
      </c>
      <c r="D260" s="123">
        <f t="shared" ref="D260:D323" si="8">IFERROR((C260/C261)-1,0)</f>
        <v>-4.931531623178087E-2</v>
      </c>
      <c r="E260" s="15"/>
      <c r="F260" s="256">
        <v>14707.2</v>
      </c>
      <c r="G260" s="123">
        <f t="shared" ref="G260:G323" si="9">IFERROR((F260/F261)-1,0)</f>
        <v>-3.8905280492466887E-2</v>
      </c>
    </row>
    <row r="261" spans="2:7" x14ac:dyDescent="0.45">
      <c r="B261" t="s">
        <v>358</v>
      </c>
      <c r="C261" s="256">
        <v>1769.43</v>
      </c>
      <c r="D261" s="123">
        <f t="shared" si="8"/>
        <v>-4.4627221475290746E-4</v>
      </c>
      <c r="E261" s="15"/>
      <c r="F261" s="256">
        <v>15302.55</v>
      </c>
      <c r="G261" s="123">
        <f t="shared" si="9"/>
        <v>-1.7745041401887152E-2</v>
      </c>
    </row>
    <row r="262" spans="2:7" x14ac:dyDescent="0.45">
      <c r="B262" s="189">
        <v>44388</v>
      </c>
      <c r="C262" s="256">
        <v>1770.22</v>
      </c>
      <c r="D262" s="123">
        <f t="shared" si="8"/>
        <v>4.1845190451528014E-2</v>
      </c>
      <c r="E262" s="15"/>
      <c r="F262" s="256">
        <v>15579</v>
      </c>
      <c r="G262" s="123">
        <f t="shared" si="9"/>
        <v>1.3143091260267026E-2</v>
      </c>
    </row>
    <row r="263" spans="2:7" x14ac:dyDescent="0.45">
      <c r="B263" t="s">
        <v>357</v>
      </c>
      <c r="C263" s="256">
        <v>1699.12</v>
      </c>
      <c r="D263" s="123">
        <f t="shared" si="8"/>
        <v>2.4553786782440801E-2</v>
      </c>
      <c r="E263" s="15"/>
      <c r="F263" s="256">
        <v>15376.9</v>
      </c>
      <c r="G263" s="123">
        <f t="shared" si="9"/>
        <v>1.9221974030450228E-2</v>
      </c>
    </row>
    <row r="264" spans="2:7" x14ac:dyDescent="0.45">
      <c r="B264" t="s">
        <v>356</v>
      </c>
      <c r="C264" s="256">
        <v>1658.4</v>
      </c>
      <c r="D264" s="123">
        <f t="shared" si="8"/>
        <v>-3.0266173925246775E-2</v>
      </c>
      <c r="E264" s="15"/>
      <c r="F264" s="256">
        <v>15086.9</v>
      </c>
      <c r="G264" s="123">
        <f t="shared" si="9"/>
        <v>-2.0312084001636421E-2</v>
      </c>
    </row>
    <row r="265" spans="2:7" x14ac:dyDescent="0.45">
      <c r="B265" t="s">
        <v>355</v>
      </c>
      <c r="C265" s="256">
        <v>1710.16</v>
      </c>
      <c r="D265" s="123">
        <f t="shared" si="8"/>
        <v>2.3561958573152797E-3</v>
      </c>
      <c r="E265" s="15"/>
      <c r="F265" s="256">
        <v>15399.7</v>
      </c>
      <c r="G265" s="123">
        <f t="shared" si="9"/>
        <v>-2.3434849469695762E-2</v>
      </c>
    </row>
    <row r="266" spans="2:7" x14ac:dyDescent="0.45">
      <c r="B266" s="189">
        <v>44479</v>
      </c>
      <c r="C266" s="256">
        <v>1706.14</v>
      </c>
      <c r="D266" s="123">
        <f t="shared" si="8"/>
        <v>-4.6960955320004549E-3</v>
      </c>
      <c r="E266" s="15"/>
      <c r="F266" s="256">
        <v>15769.25</v>
      </c>
      <c r="G266" s="123">
        <f t="shared" si="9"/>
        <v>2.6296436102361209E-2</v>
      </c>
    </row>
    <row r="267" spans="2:7" x14ac:dyDescent="0.45">
      <c r="B267" s="189">
        <v>44265</v>
      </c>
      <c r="C267" s="256">
        <v>1714.19</v>
      </c>
      <c r="D267" s="123">
        <f t="shared" si="8"/>
        <v>3.5251416216738551E-2</v>
      </c>
      <c r="E267" s="15"/>
      <c r="F267" s="256">
        <v>15365.2</v>
      </c>
      <c r="G267" s="123">
        <f t="shared" si="9"/>
        <v>2.3394909400923813E-2</v>
      </c>
    </row>
    <row r="268" spans="2:7" x14ac:dyDescent="0.45">
      <c r="B268" t="s">
        <v>354</v>
      </c>
      <c r="C268" s="256">
        <v>1655.82</v>
      </c>
      <c r="D268" s="123">
        <f t="shared" si="8"/>
        <v>-5.5953385481995133E-2</v>
      </c>
      <c r="E268" s="15"/>
      <c r="F268" s="256">
        <v>15013.95</v>
      </c>
      <c r="G268" s="123">
        <f t="shared" si="9"/>
        <v>-1.1716731558489846E-2</v>
      </c>
    </row>
    <row r="269" spans="2:7" x14ac:dyDescent="0.45">
      <c r="B269" t="s">
        <v>353</v>
      </c>
      <c r="C269" s="256">
        <v>1753.96</v>
      </c>
      <c r="D269" s="123">
        <f t="shared" si="8"/>
        <v>4.2894007682154012E-2</v>
      </c>
      <c r="E269" s="15"/>
      <c r="F269" s="256">
        <v>15191.95</v>
      </c>
      <c r="G269" s="123">
        <f t="shared" si="9"/>
        <v>1.0960089171338838E-2</v>
      </c>
    </row>
    <row r="270" spans="2:7" x14ac:dyDescent="0.45">
      <c r="B270" s="189">
        <v>44539</v>
      </c>
      <c r="C270" s="256">
        <v>1681.82</v>
      </c>
      <c r="D270" s="123">
        <f t="shared" si="8"/>
        <v>-1.783463724347456E-4</v>
      </c>
      <c r="E270" s="15"/>
      <c r="F270" s="256">
        <v>15027.25</v>
      </c>
      <c r="G270" s="123">
        <f t="shared" si="9"/>
        <v>1.2860219257301964E-2</v>
      </c>
    </row>
    <row r="271" spans="2:7" x14ac:dyDescent="0.45">
      <c r="B271" s="189">
        <v>44325</v>
      </c>
      <c r="C271" s="256">
        <v>1682.12</v>
      </c>
      <c r="D271" s="123">
        <f t="shared" si="8"/>
        <v>-5.3219168361795521E-3</v>
      </c>
      <c r="E271" s="15"/>
      <c r="F271" s="256">
        <v>14836.45</v>
      </c>
      <c r="G271" s="123">
        <f t="shared" si="9"/>
        <v>5.2272126726877755E-3</v>
      </c>
    </row>
    <row r="272" spans="2:7" x14ac:dyDescent="0.45">
      <c r="B272" t="s">
        <v>352</v>
      </c>
      <c r="C272" s="256">
        <v>1691.12</v>
      </c>
      <c r="D272" s="123">
        <f t="shared" si="8"/>
        <v>-4.7668930450442959E-3</v>
      </c>
      <c r="E272" s="15"/>
      <c r="F272" s="256">
        <v>14759.3</v>
      </c>
      <c r="G272" s="123">
        <f t="shared" si="9"/>
        <v>3.9936586225118864E-2</v>
      </c>
    </row>
    <row r="273" spans="2:7" x14ac:dyDescent="0.45">
      <c r="B273" t="s">
        <v>351</v>
      </c>
      <c r="C273" s="256">
        <v>1699.22</v>
      </c>
      <c r="D273" s="123">
        <f t="shared" si="8"/>
        <v>-1.3938859357953581E-2</v>
      </c>
      <c r="E273" s="15"/>
      <c r="F273" s="256">
        <v>14192.5</v>
      </c>
      <c r="G273" s="123">
        <f t="shared" si="9"/>
        <v>1.7824934828366334E-2</v>
      </c>
    </row>
    <row r="274" spans="2:7" x14ac:dyDescent="0.45">
      <c r="B274" t="s">
        <v>350</v>
      </c>
      <c r="C274" s="256">
        <v>1723.24</v>
      </c>
      <c r="D274" s="123">
        <f t="shared" si="8"/>
        <v>1.2122635968518702E-2</v>
      </c>
      <c r="E274" s="15"/>
      <c r="F274" s="256">
        <v>13943.95</v>
      </c>
      <c r="G274" s="123">
        <f t="shared" si="9"/>
        <v>-8.6276154792289672E-3</v>
      </c>
    </row>
    <row r="275" spans="2:7" x14ac:dyDescent="0.45">
      <c r="B275" s="189">
        <v>44416</v>
      </c>
      <c r="C275" s="256">
        <v>1702.6</v>
      </c>
      <c r="D275" s="123">
        <f t="shared" si="8"/>
        <v>3.7569700478381263E-2</v>
      </c>
      <c r="E275" s="15"/>
      <c r="F275" s="256">
        <v>14065.3</v>
      </c>
      <c r="G275" s="123">
        <f t="shared" si="9"/>
        <v>7.9292565560582506E-3</v>
      </c>
    </row>
    <row r="276" spans="2:7" x14ac:dyDescent="0.45">
      <c r="B276" s="189">
        <v>44204</v>
      </c>
      <c r="C276" s="256">
        <v>1640.95</v>
      </c>
      <c r="D276" s="123">
        <f t="shared" si="8"/>
        <v>2.4652350652837773E-2</v>
      </c>
      <c r="E276" s="15"/>
      <c r="F276" s="256">
        <v>13954.65</v>
      </c>
      <c r="G276" s="123">
        <f t="shared" si="9"/>
        <v>2.1252538558647505E-2</v>
      </c>
    </row>
    <row r="277" spans="2:7" x14ac:dyDescent="0.45">
      <c r="B277" t="s">
        <v>349</v>
      </c>
      <c r="C277" s="256">
        <v>1601.47</v>
      </c>
      <c r="D277" s="123">
        <f t="shared" si="8"/>
        <v>1.2601641438092059E-2</v>
      </c>
      <c r="E277" s="15"/>
      <c r="F277" s="256">
        <v>13664.25</v>
      </c>
      <c r="G277" s="123">
        <f t="shared" si="9"/>
        <v>-1.6621611748374177E-3</v>
      </c>
    </row>
    <row r="278" spans="2:7" x14ac:dyDescent="0.45">
      <c r="B278" t="s">
        <v>348</v>
      </c>
      <c r="C278" s="256">
        <v>1581.54</v>
      </c>
      <c r="D278" s="123">
        <f t="shared" si="8"/>
        <v>2.2505543954019158E-2</v>
      </c>
      <c r="E278" s="15"/>
      <c r="F278" s="256">
        <v>13687</v>
      </c>
      <c r="G278" s="123">
        <f t="shared" si="9"/>
        <v>-4.0276954087182792E-3</v>
      </c>
    </row>
    <row r="279" spans="2:7" x14ac:dyDescent="0.45">
      <c r="B279" s="189">
        <v>44507</v>
      </c>
      <c r="C279" s="256">
        <v>1546.73</v>
      </c>
      <c r="D279" s="123">
        <f t="shared" si="8"/>
        <v>-4.7679102268779472E-3</v>
      </c>
      <c r="E279" s="15"/>
      <c r="F279" s="256">
        <v>13742.35</v>
      </c>
      <c r="G279" s="123">
        <f t="shared" si="9"/>
        <v>1.5848668867049387E-2</v>
      </c>
    </row>
    <row r="280" spans="2:7" x14ac:dyDescent="0.45">
      <c r="B280" s="189">
        <v>44293</v>
      </c>
      <c r="C280" s="256">
        <v>1554.14</v>
      </c>
      <c r="D280" s="123">
        <f t="shared" si="8"/>
        <v>-3.1237772689077792E-3</v>
      </c>
      <c r="E280" s="15"/>
      <c r="F280" s="256">
        <v>13527.95</v>
      </c>
      <c r="G280" s="123">
        <f t="shared" si="9"/>
        <v>2.4825020656640273E-3</v>
      </c>
    </row>
    <row r="281" spans="2:7" x14ac:dyDescent="0.45">
      <c r="B281" t="s">
        <v>347</v>
      </c>
      <c r="C281" s="256">
        <v>1559.01</v>
      </c>
      <c r="D281" s="123">
        <f t="shared" si="8"/>
        <v>-4.0692994672221205E-3</v>
      </c>
      <c r="E281" s="15"/>
      <c r="F281" s="256">
        <v>13494.45</v>
      </c>
      <c r="G281" s="123">
        <f t="shared" si="9"/>
        <v>-3.3199403223185264E-3</v>
      </c>
    </row>
    <row r="282" spans="2:7" x14ac:dyDescent="0.45">
      <c r="B282" t="s">
        <v>346</v>
      </c>
      <c r="C282" s="256">
        <v>1565.38</v>
      </c>
      <c r="D282" s="123">
        <f t="shared" si="8"/>
        <v>4.716097613186343E-2</v>
      </c>
      <c r="E282" s="15"/>
      <c r="F282" s="256">
        <v>13539.4</v>
      </c>
      <c r="G282" s="123">
        <f t="shared" si="9"/>
        <v>1.1418177200249513E-2</v>
      </c>
    </row>
    <row r="283" spans="2:7" x14ac:dyDescent="0.45">
      <c r="B283" t="s">
        <v>345</v>
      </c>
      <c r="C283" s="256">
        <v>1494.88</v>
      </c>
      <c r="D283" s="123">
        <f t="shared" si="8"/>
        <v>3.8984146400795172E-2</v>
      </c>
      <c r="E283" s="15"/>
      <c r="F283" s="256">
        <v>13386.55</v>
      </c>
      <c r="G283" s="123">
        <f t="shared" si="9"/>
        <v>-1.3071509932651937E-2</v>
      </c>
    </row>
    <row r="284" spans="2:7" x14ac:dyDescent="0.45">
      <c r="B284" s="189">
        <v>44353</v>
      </c>
      <c r="C284" s="256">
        <v>1438.79</v>
      </c>
      <c r="D284" s="123">
        <f t="shared" si="8"/>
        <v>4.4198012903787554E-2</v>
      </c>
      <c r="E284" s="15"/>
      <c r="F284" s="256">
        <v>13563.85</v>
      </c>
      <c r="G284" s="123">
        <f t="shared" si="9"/>
        <v>1.2688611980080644E-2</v>
      </c>
    </row>
    <row r="285" spans="2:7" x14ac:dyDescent="0.45">
      <c r="B285" t="s">
        <v>344</v>
      </c>
      <c r="C285" s="256">
        <v>1377.89</v>
      </c>
      <c r="D285" s="123">
        <f t="shared" si="8"/>
        <v>-1.380638142544266E-2</v>
      </c>
      <c r="E285" s="15"/>
      <c r="F285" s="256">
        <v>13393.9</v>
      </c>
      <c r="G285" s="123">
        <f t="shared" si="9"/>
        <v>2.1106117610285802E-2</v>
      </c>
    </row>
    <row r="286" spans="2:7" x14ac:dyDescent="0.45">
      <c r="B286" t="s">
        <v>343</v>
      </c>
      <c r="C286" s="256">
        <v>1397.18</v>
      </c>
      <c r="D286" s="123">
        <f t="shared" si="8"/>
        <v>3.7322464010215883E-2</v>
      </c>
      <c r="E286" s="15"/>
      <c r="F286" s="256">
        <v>13117.05</v>
      </c>
      <c r="G286" s="123">
        <f t="shared" si="9"/>
        <v>1.5420522765011047E-2</v>
      </c>
    </row>
    <row r="287" spans="2:7" x14ac:dyDescent="0.45">
      <c r="B287" t="s">
        <v>342</v>
      </c>
      <c r="C287" s="256">
        <v>1346.91</v>
      </c>
      <c r="D287" s="123">
        <f t="shared" si="8"/>
        <v>2.8945317871384768E-2</v>
      </c>
      <c r="E287" s="15"/>
      <c r="F287" s="256">
        <v>12917.85</v>
      </c>
      <c r="G287" s="123">
        <f t="shared" si="9"/>
        <v>3.573561895904076E-2</v>
      </c>
    </row>
    <row r="288" spans="2:7" x14ac:dyDescent="0.45">
      <c r="B288" s="189">
        <v>44444</v>
      </c>
      <c r="C288" s="256">
        <v>1309.02</v>
      </c>
      <c r="D288" s="123">
        <f t="shared" si="8"/>
        <v>-2.6729220726112835E-2</v>
      </c>
      <c r="E288" s="15"/>
      <c r="F288" s="256">
        <v>12472.15</v>
      </c>
      <c r="G288" s="123">
        <f t="shared" si="9"/>
        <v>-7.2394552299990256E-3</v>
      </c>
    </row>
    <row r="289" spans="2:7" x14ac:dyDescent="0.45">
      <c r="B289" s="189">
        <v>44232</v>
      </c>
      <c r="C289" s="256">
        <v>1344.97</v>
      </c>
      <c r="D289" s="123">
        <f t="shared" si="8"/>
        <v>-1.3291158038551965E-3</v>
      </c>
      <c r="E289" s="15"/>
      <c r="F289" s="256">
        <v>12563.1</v>
      </c>
      <c r="G289" s="123">
        <f t="shared" si="9"/>
        <v>1.6074439820936703E-2</v>
      </c>
    </row>
    <row r="290" spans="2:7" x14ac:dyDescent="0.45">
      <c r="B290" t="s">
        <v>341</v>
      </c>
      <c r="C290" s="256">
        <v>1346.76</v>
      </c>
      <c r="D290" s="123">
        <f t="shared" si="8"/>
        <v>1.5411062187104196E-2</v>
      </c>
      <c r="E290" s="15"/>
      <c r="F290" s="256">
        <v>12364.35</v>
      </c>
      <c r="G290" s="123">
        <f t="shared" si="9"/>
        <v>2.1374405233941296E-2</v>
      </c>
    </row>
    <row r="291" spans="2:7" x14ac:dyDescent="0.45">
      <c r="B291" t="s">
        <v>340</v>
      </c>
      <c r="C291" s="256">
        <v>1326.32</v>
      </c>
      <c r="D291" s="123">
        <f t="shared" si="8"/>
        <v>-1.473821833957345E-2</v>
      </c>
      <c r="E291" s="15"/>
      <c r="F291" s="256">
        <v>12105.6</v>
      </c>
      <c r="G291" s="123">
        <f t="shared" si="9"/>
        <v>-1.5648822374278781E-2</v>
      </c>
    </row>
    <row r="292" spans="2:7" x14ac:dyDescent="0.45">
      <c r="B292" s="189">
        <v>44504</v>
      </c>
      <c r="C292" s="256">
        <v>1346.16</v>
      </c>
      <c r="D292" s="123">
        <f t="shared" si="8"/>
        <v>-6.0580472724481305E-2</v>
      </c>
      <c r="E292" s="15"/>
      <c r="F292" s="256">
        <v>12298.05</v>
      </c>
      <c r="G292" s="123">
        <f t="shared" si="9"/>
        <v>-1.8307869150821388E-2</v>
      </c>
    </row>
    <row r="293" spans="2:7" x14ac:dyDescent="0.45">
      <c r="B293" s="189">
        <v>44290</v>
      </c>
      <c r="C293" s="256">
        <v>1432.97</v>
      </c>
      <c r="D293" s="123">
        <f t="shared" si="8"/>
        <v>4.0313915669647926E-2</v>
      </c>
      <c r="E293" s="15"/>
      <c r="F293" s="256">
        <v>12527.4</v>
      </c>
      <c r="G293" s="123">
        <f t="shared" si="9"/>
        <v>3.8785159067231678E-3</v>
      </c>
    </row>
    <row r="294" spans="2:7" x14ac:dyDescent="0.45">
      <c r="B294" t="s">
        <v>339</v>
      </c>
      <c r="C294" s="256">
        <v>1377.44</v>
      </c>
      <c r="D294" s="123">
        <f t="shared" si="8"/>
        <v>3.6674669416200789E-2</v>
      </c>
      <c r="E294" s="15"/>
      <c r="F294" s="256">
        <v>12479</v>
      </c>
      <c r="G294" s="123">
        <f t="shared" si="9"/>
        <v>2.7171184222440026E-2</v>
      </c>
    </row>
    <row r="295" spans="2:7" x14ac:dyDescent="0.45">
      <c r="B295" t="s">
        <v>338</v>
      </c>
      <c r="C295" s="256">
        <v>1328.71</v>
      </c>
      <c r="D295" s="123">
        <f t="shared" si="8"/>
        <v>-6.1409807617509582E-3</v>
      </c>
      <c r="E295" s="15"/>
      <c r="F295" s="256">
        <v>12148.9</v>
      </c>
      <c r="G295" s="123">
        <f t="shared" si="9"/>
        <v>-1.3447561817369835E-2</v>
      </c>
    </row>
    <row r="296" spans="2:7" x14ac:dyDescent="0.45">
      <c r="B296" t="s">
        <v>337</v>
      </c>
      <c r="C296" s="256">
        <v>1336.92</v>
      </c>
      <c r="D296" s="123">
        <f t="shared" si="8"/>
        <v>-2.2111692206414846E-2</v>
      </c>
      <c r="E296" s="15"/>
      <c r="F296" s="256">
        <v>12314.5</v>
      </c>
      <c r="G296" s="123">
        <f t="shared" si="9"/>
        <v>-2.2185343698139515E-2</v>
      </c>
    </row>
    <row r="297" spans="2:7" x14ac:dyDescent="0.45">
      <c r="B297" s="189">
        <v>44380</v>
      </c>
      <c r="C297" s="256">
        <v>1367.15</v>
      </c>
      <c r="D297" s="123">
        <f t="shared" si="8"/>
        <v>4.4167965050560642E-2</v>
      </c>
      <c r="E297" s="15"/>
      <c r="F297" s="256">
        <v>12593.9</v>
      </c>
      <c r="G297" s="123">
        <f t="shared" si="9"/>
        <v>4.3783395805088166E-3</v>
      </c>
    </row>
    <row r="298" spans="2:7" x14ac:dyDescent="0.45">
      <c r="B298" t="s">
        <v>336</v>
      </c>
      <c r="C298" s="256">
        <v>1309.32</v>
      </c>
      <c r="D298" s="123">
        <f t="shared" si="8"/>
        <v>5.0582533620053161E-2</v>
      </c>
      <c r="E298" s="15"/>
      <c r="F298" s="256">
        <v>12539</v>
      </c>
      <c r="G298" s="123">
        <f t="shared" si="9"/>
        <v>2.9356231631832097E-2</v>
      </c>
    </row>
    <row r="299" spans="2:7" x14ac:dyDescent="0.45">
      <c r="B299" t="s">
        <v>335</v>
      </c>
      <c r="C299" s="256">
        <v>1246.28</v>
      </c>
      <c r="D299" s="123">
        <f t="shared" si="8"/>
        <v>-2.9422301138576024E-2</v>
      </c>
      <c r="E299" s="15"/>
      <c r="F299" s="256">
        <v>12181.4</v>
      </c>
      <c r="G299" s="123">
        <f t="shared" si="9"/>
        <v>-2.0693314467633561E-2</v>
      </c>
    </row>
    <row r="300" spans="2:7" x14ac:dyDescent="0.45">
      <c r="B300" t="s">
        <v>334</v>
      </c>
      <c r="C300" s="256">
        <v>1284.06</v>
      </c>
      <c r="D300" s="123">
        <f t="shared" si="8"/>
        <v>-1.412711330866212E-2</v>
      </c>
      <c r="E300" s="15"/>
      <c r="F300" s="256">
        <v>12438.8</v>
      </c>
      <c r="G300" s="123">
        <f t="shared" si="9"/>
        <v>-5.5761858888520033E-3</v>
      </c>
    </row>
    <row r="301" spans="2:7" x14ac:dyDescent="0.45">
      <c r="B301" s="189">
        <v>44379</v>
      </c>
      <c r="C301" s="256">
        <v>1302.46</v>
      </c>
      <c r="D301" s="123">
        <f t="shared" si="8"/>
        <v>2.9637066491695396E-2</v>
      </c>
      <c r="E301" s="15"/>
      <c r="F301" s="256">
        <v>12508.55</v>
      </c>
      <c r="G301" s="123">
        <f t="shared" si="9"/>
        <v>1.8624005993558512E-2</v>
      </c>
    </row>
    <row r="302" spans="2:7" x14ac:dyDescent="0.45">
      <c r="B302" t="s">
        <v>333</v>
      </c>
      <c r="C302" s="256">
        <v>1264.97</v>
      </c>
      <c r="D302" s="123">
        <f t="shared" si="8"/>
        <v>2.6669696699158418E-2</v>
      </c>
      <c r="E302" s="15"/>
      <c r="F302" s="256">
        <v>12279.85</v>
      </c>
      <c r="G302" s="123">
        <f t="shared" si="9"/>
        <v>8.6481632219705507E-2</v>
      </c>
    </row>
    <row r="303" spans="2:7" x14ac:dyDescent="0.45">
      <c r="B303" t="s">
        <v>332</v>
      </c>
      <c r="C303" s="256">
        <v>1232.1099999999999</v>
      </c>
      <c r="D303" s="123">
        <f t="shared" si="8"/>
        <v>-7.5922120389398051E-2</v>
      </c>
      <c r="E303" s="15"/>
      <c r="F303" s="256">
        <v>11302.4</v>
      </c>
      <c r="G303" s="123">
        <f t="shared" si="9"/>
        <v>-4.6573031338310367E-2</v>
      </c>
    </row>
    <row r="304" spans="2:7" x14ac:dyDescent="0.45">
      <c r="B304" t="s">
        <v>331</v>
      </c>
      <c r="C304" s="256">
        <v>1333.34</v>
      </c>
      <c r="D304" s="123">
        <f t="shared" si="8"/>
        <v>-3.0431954299730002E-3</v>
      </c>
      <c r="E304" s="15"/>
      <c r="F304" s="256">
        <v>11854.5</v>
      </c>
      <c r="G304" s="123">
        <f t="shared" si="9"/>
        <v>-6.4285235349337277E-3</v>
      </c>
    </row>
    <row r="305" spans="2:7" x14ac:dyDescent="0.45">
      <c r="B305" s="189">
        <v>44470</v>
      </c>
      <c r="C305" s="256">
        <v>1337.41</v>
      </c>
      <c r="D305" s="123">
        <f t="shared" si="8"/>
        <v>2.5031615251964068E-2</v>
      </c>
      <c r="E305" s="15"/>
      <c r="F305" s="256">
        <v>11931.2</v>
      </c>
      <c r="G305" s="123">
        <f t="shared" si="9"/>
        <v>4.6957805058034374E-4</v>
      </c>
    </row>
    <row r="306" spans="2:7" x14ac:dyDescent="0.45">
      <c r="B306" s="189">
        <v>44256</v>
      </c>
      <c r="C306" s="256">
        <v>1304.75</v>
      </c>
      <c r="D306" s="123">
        <f t="shared" si="8"/>
        <v>4.0976870726589398E-2</v>
      </c>
      <c r="E306" s="15"/>
      <c r="F306" s="256">
        <v>11925.6</v>
      </c>
      <c r="G306" s="123">
        <f t="shared" si="9"/>
        <v>3.0302768502399546E-2</v>
      </c>
    </row>
    <row r="307" spans="2:7" x14ac:dyDescent="0.45">
      <c r="B307" t="s">
        <v>330</v>
      </c>
      <c r="C307" s="256">
        <v>1253.3900000000001</v>
      </c>
      <c r="D307" s="123">
        <f t="shared" si="8"/>
        <v>1.97458344181205E-2</v>
      </c>
      <c r="E307" s="15"/>
      <c r="F307" s="256">
        <v>11574.85</v>
      </c>
      <c r="G307" s="123">
        <f t="shared" si="9"/>
        <v>2.2039248581709137E-2</v>
      </c>
    </row>
    <row r="308" spans="2:7" x14ac:dyDescent="0.45">
      <c r="B308" t="s">
        <v>329</v>
      </c>
      <c r="C308" s="256">
        <v>1229.1199999999999</v>
      </c>
      <c r="D308" s="123">
        <f t="shared" si="8"/>
        <v>3.8871468055074132E-2</v>
      </c>
      <c r="E308" s="15"/>
      <c r="F308" s="256">
        <v>11325.25</v>
      </c>
      <c r="G308" s="123">
        <f t="shared" si="9"/>
        <v>-2.6199911933069142E-3</v>
      </c>
    </row>
    <row r="309" spans="2:7" x14ac:dyDescent="0.45">
      <c r="B309" t="s">
        <v>328</v>
      </c>
      <c r="C309" s="256">
        <v>1183.1300000000001</v>
      </c>
      <c r="D309" s="123">
        <f t="shared" si="8"/>
        <v>2.2867171559981969E-2</v>
      </c>
      <c r="E309" s="15"/>
      <c r="F309" s="256">
        <v>11355</v>
      </c>
      <c r="G309" s="123">
        <f t="shared" si="9"/>
        <v>1.6434824641495371E-2</v>
      </c>
    </row>
    <row r="310" spans="2:7" x14ac:dyDescent="0.45">
      <c r="B310" s="189">
        <v>43994</v>
      </c>
      <c r="C310" s="256">
        <v>1156.68</v>
      </c>
      <c r="D310" s="123">
        <f t="shared" si="8"/>
        <v>2.5161970769926212E-2</v>
      </c>
      <c r="E310" s="15"/>
      <c r="F310" s="256">
        <v>11171.4</v>
      </c>
      <c r="G310" s="123">
        <f t="shared" si="9"/>
        <v>1.7538266758358123E-2</v>
      </c>
    </row>
    <row r="311" spans="2:7" x14ac:dyDescent="0.45">
      <c r="B311" t="s">
        <v>327</v>
      </c>
      <c r="C311" s="256">
        <v>1128.29</v>
      </c>
      <c r="D311" s="123">
        <f t="shared" si="8"/>
        <v>3.1494551305492724E-2</v>
      </c>
      <c r="E311" s="15"/>
      <c r="F311" s="256">
        <v>10978.85</v>
      </c>
      <c r="G311" s="123">
        <f t="shared" si="9"/>
        <v>2.4237222515055112E-2</v>
      </c>
    </row>
    <row r="312" spans="2:7" x14ac:dyDescent="0.45">
      <c r="B312" t="s">
        <v>326</v>
      </c>
      <c r="C312" s="256">
        <v>1093.8399999999999</v>
      </c>
      <c r="D312" s="123">
        <f t="shared" si="8"/>
        <v>-3.0350811633568231E-3</v>
      </c>
      <c r="E312" s="15"/>
      <c r="F312" s="256">
        <v>10719.05</v>
      </c>
      <c r="G312" s="123">
        <f t="shared" si="9"/>
        <v>1.5008687994469971E-2</v>
      </c>
    </row>
    <row r="313" spans="2:7" x14ac:dyDescent="0.45">
      <c r="B313" t="s">
        <v>325</v>
      </c>
      <c r="C313" s="256">
        <v>1097.17</v>
      </c>
      <c r="D313" s="123">
        <f t="shared" si="8"/>
        <v>-1.8543698005188292E-2</v>
      </c>
      <c r="E313" s="15"/>
      <c r="F313" s="256">
        <v>10560.55</v>
      </c>
      <c r="G313" s="123">
        <f t="shared" si="9"/>
        <v>1.6688809303758267E-2</v>
      </c>
    </row>
    <row r="314" spans="2:7" x14ac:dyDescent="0.45">
      <c r="B314" s="189">
        <v>44054</v>
      </c>
      <c r="C314" s="256">
        <v>1117.9000000000001</v>
      </c>
      <c r="D314" s="123">
        <f t="shared" si="8"/>
        <v>1.0293625904872261E-2</v>
      </c>
      <c r="E314" s="15"/>
      <c r="F314" s="256">
        <v>10387.200000000001</v>
      </c>
      <c r="G314" s="123">
        <f t="shared" si="9"/>
        <v>3.5251906114516451E-2</v>
      </c>
    </row>
    <row r="315" spans="2:7" x14ac:dyDescent="0.45">
      <c r="B315" s="189">
        <v>43841</v>
      </c>
      <c r="C315" s="256">
        <v>1106.51</v>
      </c>
      <c r="D315" s="123">
        <f t="shared" si="8"/>
        <v>4.9162763355014905E-2</v>
      </c>
      <c r="E315" s="15"/>
      <c r="F315" s="256">
        <v>10033.5</v>
      </c>
      <c r="G315" s="123">
        <f t="shared" si="9"/>
        <v>4.715784859601424E-2</v>
      </c>
    </row>
    <row r="316" spans="2:7" x14ac:dyDescent="0.45">
      <c r="B316" t="s">
        <v>324</v>
      </c>
      <c r="C316" s="256">
        <v>1054.6600000000001</v>
      </c>
      <c r="D316" s="123">
        <f t="shared" si="8"/>
        <v>-5.5141953575044034E-2</v>
      </c>
      <c r="E316" s="15"/>
      <c r="F316" s="256">
        <v>9581.65</v>
      </c>
      <c r="G316" s="123">
        <f t="shared" si="9"/>
        <v>-2.0316246351102074E-2</v>
      </c>
    </row>
    <row r="317" spans="2:7" x14ac:dyDescent="0.45">
      <c r="B317" t="s">
        <v>323</v>
      </c>
      <c r="C317" s="256">
        <v>1116.21</v>
      </c>
      <c r="D317" s="123">
        <f t="shared" si="8"/>
        <v>-4.4328296972832026E-3</v>
      </c>
      <c r="E317" s="15"/>
      <c r="F317" s="256">
        <v>9780.35</v>
      </c>
      <c r="G317" s="123">
        <f t="shared" si="9"/>
        <v>1.6008310609011867E-2</v>
      </c>
    </row>
    <row r="318" spans="2:7" x14ac:dyDescent="0.45">
      <c r="B318" s="189">
        <v>44145</v>
      </c>
      <c r="C318" s="256">
        <v>1121.18</v>
      </c>
      <c r="D318" s="123">
        <f t="shared" si="8"/>
        <v>1.869889151371984E-2</v>
      </c>
      <c r="E318" s="15"/>
      <c r="F318" s="256">
        <v>9626.25</v>
      </c>
      <c r="G318" s="123">
        <f t="shared" si="9"/>
        <v>-1.2707496807741414E-2</v>
      </c>
    </row>
    <row r="319" spans="2:7" x14ac:dyDescent="0.45">
      <c r="B319" s="189">
        <v>43931</v>
      </c>
      <c r="C319" s="256">
        <v>1100.5999999999999</v>
      </c>
      <c r="D319" s="123">
        <f t="shared" si="8"/>
        <v>8.7603142447749249E-2</v>
      </c>
      <c r="E319" s="15"/>
      <c r="F319" s="256">
        <v>9750.15</v>
      </c>
      <c r="G319" s="123">
        <f t="shared" si="9"/>
        <v>3.0486064872063068E-2</v>
      </c>
    </row>
    <row r="320" spans="2:7" x14ac:dyDescent="0.45">
      <c r="B320" t="s">
        <v>322</v>
      </c>
      <c r="C320" s="256">
        <v>1011.95</v>
      </c>
      <c r="D320" s="123">
        <f t="shared" si="8"/>
        <v>6.1345423452445758E-3</v>
      </c>
      <c r="E320" s="15"/>
      <c r="F320" s="256">
        <v>9461.7000000000007</v>
      </c>
      <c r="G320" s="123">
        <f t="shared" si="9"/>
        <v>3.33766559998252E-2</v>
      </c>
    </row>
    <row r="321" spans="2:7" x14ac:dyDescent="0.45">
      <c r="B321" t="s">
        <v>321</v>
      </c>
      <c r="C321" s="256">
        <v>1005.78</v>
      </c>
      <c r="D321" s="123">
        <f t="shared" si="8"/>
        <v>9.2822092661535294E-3</v>
      </c>
      <c r="E321" s="15"/>
      <c r="F321" s="256">
        <v>9156.1</v>
      </c>
      <c r="G321" s="123">
        <f t="shared" si="9"/>
        <v>-4.2198859773000641E-2</v>
      </c>
    </row>
    <row r="322" spans="2:7" x14ac:dyDescent="0.45">
      <c r="B322" t="s">
        <v>320</v>
      </c>
      <c r="C322" s="257">
        <v>996.53</v>
      </c>
      <c r="D322" s="123">
        <f t="shared" si="8"/>
        <v>5.9687367077839282E-2</v>
      </c>
      <c r="E322" s="15"/>
      <c r="F322" s="256">
        <v>9559.5</v>
      </c>
      <c r="G322" s="123">
        <f t="shared" si="9"/>
        <v>1.1972815040650397E-2</v>
      </c>
    </row>
    <row r="323" spans="2:7" x14ac:dyDescent="0.45">
      <c r="B323" s="189">
        <v>43991</v>
      </c>
      <c r="C323" s="257">
        <v>940.4</v>
      </c>
      <c r="D323" s="123">
        <f t="shared" si="8"/>
        <v>2.8884026258205742E-2</v>
      </c>
      <c r="E323" s="15"/>
      <c r="F323" s="256">
        <v>9446.4</v>
      </c>
      <c r="G323" s="123">
        <f t="shared" si="9"/>
        <v>7.2990365698260007E-3</v>
      </c>
    </row>
    <row r="324" spans="2:7" x14ac:dyDescent="0.45">
      <c r="B324" t="s">
        <v>319</v>
      </c>
      <c r="C324" s="257">
        <v>914</v>
      </c>
      <c r="D324" s="123">
        <f t="shared" ref="D324:D387" si="10">IFERROR((C324/C325)-1,0)</f>
        <v>-1.7214868657326243E-2</v>
      </c>
      <c r="E324" s="15"/>
      <c r="F324" s="256">
        <v>9377.9500000000007</v>
      </c>
      <c r="G324" s="123">
        <f t="shared" ref="G324:G387" si="11">IFERROR((F324/F325)-1,0)</f>
        <v>-2.7289558709891359E-2</v>
      </c>
    </row>
    <row r="325" spans="2:7" x14ac:dyDescent="0.45">
      <c r="B325" t="s">
        <v>318</v>
      </c>
      <c r="C325" s="257">
        <v>930.01</v>
      </c>
      <c r="D325" s="123">
        <f t="shared" si="10"/>
        <v>-1.4276932208419968E-2</v>
      </c>
      <c r="E325" s="15"/>
      <c r="F325" s="256">
        <v>9641.0499999999993</v>
      </c>
      <c r="G325" s="123">
        <f t="shared" si="11"/>
        <v>2.3080473919064426E-2</v>
      </c>
    </row>
    <row r="326" spans="2:7" x14ac:dyDescent="0.45">
      <c r="B326" t="s">
        <v>317</v>
      </c>
      <c r="C326" s="257">
        <v>943.48</v>
      </c>
      <c r="D326" s="123">
        <f t="shared" si="10"/>
        <v>-5.0408115917575103E-3</v>
      </c>
      <c r="E326" s="15"/>
      <c r="F326" s="256">
        <v>9423.5499999999993</v>
      </c>
      <c r="G326" s="123">
        <f t="shared" si="11"/>
        <v>2.2698168084736903E-2</v>
      </c>
    </row>
    <row r="327" spans="2:7" x14ac:dyDescent="0.45">
      <c r="B327" s="189">
        <v>44082</v>
      </c>
      <c r="C327" s="257">
        <v>948.26</v>
      </c>
      <c r="D327" s="123">
        <f t="shared" si="10"/>
        <v>2.8448449083620098E-3</v>
      </c>
      <c r="E327" s="15"/>
      <c r="F327" s="256">
        <v>9214.4</v>
      </c>
      <c r="G327" s="123">
        <f t="shared" si="11"/>
        <v>1.7122077696183347E-3</v>
      </c>
    </row>
    <row r="328" spans="2:7" x14ac:dyDescent="0.45">
      <c r="B328" s="189">
        <v>43869</v>
      </c>
      <c r="C328" s="257">
        <v>945.57</v>
      </c>
      <c r="D328" s="123">
        <f t="shared" si="10"/>
        <v>-1.5636223570930308E-2</v>
      </c>
      <c r="E328" s="15"/>
      <c r="F328" s="256">
        <v>9198.65</v>
      </c>
      <c r="G328" s="123">
        <f t="shared" si="11"/>
        <v>1.8028387239576116E-2</v>
      </c>
    </row>
    <row r="329" spans="2:7" x14ac:dyDescent="0.45">
      <c r="B329" t="s">
        <v>316</v>
      </c>
      <c r="C329" s="257">
        <v>960.59</v>
      </c>
      <c r="D329" s="123">
        <f t="shared" si="10"/>
        <v>4.6759218899834476E-2</v>
      </c>
      <c r="E329" s="15"/>
      <c r="F329" s="256">
        <v>9035.75</v>
      </c>
      <c r="G329" s="123">
        <f t="shared" si="11"/>
        <v>-5.5250138950798666E-3</v>
      </c>
    </row>
    <row r="330" spans="2:7" x14ac:dyDescent="0.45">
      <c r="B330" t="s">
        <v>315</v>
      </c>
      <c r="C330" s="257">
        <v>917.68</v>
      </c>
      <c r="D330" s="123">
        <f t="shared" si="10"/>
        <v>2.1812958612165811E-2</v>
      </c>
      <c r="E330" s="15"/>
      <c r="F330" s="256">
        <v>9085.9500000000007</v>
      </c>
      <c r="G330" s="123">
        <f t="shared" si="11"/>
        <v>2.143266668915067E-2</v>
      </c>
    </row>
    <row r="331" spans="2:7" x14ac:dyDescent="0.45">
      <c r="B331" s="189">
        <v>44172</v>
      </c>
      <c r="C331" s="257">
        <v>898.09</v>
      </c>
      <c r="D331" s="123">
        <f t="shared" si="10"/>
        <v>0.15514424993890441</v>
      </c>
      <c r="E331" s="15"/>
      <c r="F331" s="256">
        <v>8895.2999999999993</v>
      </c>
      <c r="G331" s="123">
        <f t="shared" si="11"/>
        <v>9.2296870302188694E-3</v>
      </c>
    </row>
    <row r="332" spans="2:7" x14ac:dyDescent="0.45">
      <c r="B332" s="189">
        <v>43958</v>
      </c>
      <c r="C332" s="257">
        <v>777.47</v>
      </c>
      <c r="D332" s="123">
        <f t="shared" si="10"/>
        <v>2.510449217462396E-2</v>
      </c>
      <c r="E332" s="15"/>
      <c r="F332" s="256">
        <v>8813.9500000000007</v>
      </c>
      <c r="G332" s="123">
        <f t="shared" si="11"/>
        <v>1.3534569498347082E-2</v>
      </c>
    </row>
    <row r="333" spans="2:7" x14ac:dyDescent="0.45">
      <c r="B333" t="s">
        <v>314</v>
      </c>
      <c r="C333" s="257">
        <v>758.43</v>
      </c>
      <c r="D333" s="123">
        <f t="shared" si="10"/>
        <v>1.9381459926613775E-2</v>
      </c>
      <c r="E333" s="15"/>
      <c r="F333" s="256">
        <v>8696.25</v>
      </c>
      <c r="G333" s="123">
        <f t="shared" si="11"/>
        <v>1.6035751840168144E-2</v>
      </c>
    </row>
    <row r="334" spans="2:7" x14ac:dyDescent="0.45">
      <c r="B334" t="s">
        <v>313</v>
      </c>
      <c r="C334" s="257">
        <v>744.01</v>
      </c>
      <c r="D334" s="123">
        <f t="shared" si="10"/>
        <v>6.0447548460661249E-2</v>
      </c>
      <c r="E334" s="15"/>
      <c r="F334" s="256">
        <v>8559</v>
      </c>
      <c r="G334" s="123">
        <f t="shared" si="11"/>
        <v>1.8516314824951863E-2</v>
      </c>
    </row>
    <row r="335" spans="2:7" x14ac:dyDescent="0.45">
      <c r="B335" t="s">
        <v>312</v>
      </c>
      <c r="C335" s="257">
        <v>701.6</v>
      </c>
      <c r="D335" s="123">
        <f t="shared" si="10"/>
        <v>1.9515526686719964E-2</v>
      </c>
      <c r="E335" s="15"/>
      <c r="F335" s="256">
        <v>8403.4</v>
      </c>
      <c r="G335" s="123">
        <f t="shared" si="11"/>
        <v>2.5254989995607824E-2</v>
      </c>
    </row>
    <row r="336" spans="2:7" x14ac:dyDescent="0.45">
      <c r="B336" s="189">
        <v>44018</v>
      </c>
      <c r="C336" s="257">
        <v>688.17</v>
      </c>
      <c r="D336" s="123">
        <f t="shared" si="10"/>
        <v>-1.6351967524763866E-2</v>
      </c>
      <c r="E336" s="15"/>
      <c r="F336" s="256">
        <v>8196.4</v>
      </c>
      <c r="G336" s="123">
        <f t="shared" si="11"/>
        <v>-1.2404585901305665E-2</v>
      </c>
    </row>
    <row r="337" spans="2:7" x14ac:dyDescent="0.45">
      <c r="B337" t="s">
        <v>311</v>
      </c>
      <c r="C337" s="257">
        <v>699.61</v>
      </c>
      <c r="D337" s="123">
        <f t="shared" si="10"/>
        <v>1.8162502001076941E-2</v>
      </c>
      <c r="E337" s="15"/>
      <c r="F337" s="256">
        <v>8299.35</v>
      </c>
      <c r="G337" s="123">
        <f t="shared" si="11"/>
        <v>6.0972335856003479E-2</v>
      </c>
    </row>
    <row r="338" spans="2:7" x14ac:dyDescent="0.45">
      <c r="B338" t="s">
        <v>310</v>
      </c>
      <c r="C338" s="257">
        <v>687.13</v>
      </c>
      <c r="D338" s="123">
        <f t="shared" si="10"/>
        <v>-1.9463447935277323E-3</v>
      </c>
      <c r="E338" s="15"/>
      <c r="F338" s="256">
        <v>7822.4</v>
      </c>
      <c r="G338" s="123">
        <f t="shared" si="11"/>
        <v>5.4800431499460567E-2</v>
      </c>
    </row>
    <row r="339" spans="2:7" x14ac:dyDescent="0.45">
      <c r="B339" t="s">
        <v>309</v>
      </c>
      <c r="C339" s="257">
        <v>688.47</v>
      </c>
      <c r="D339" s="123">
        <f t="shared" si="10"/>
        <v>6.1389038772835969E-2</v>
      </c>
      <c r="E339" s="15"/>
      <c r="F339" s="256">
        <v>7416</v>
      </c>
      <c r="G339" s="123">
        <f t="shared" si="11"/>
        <v>-1.17336638215364E-2</v>
      </c>
    </row>
    <row r="340" spans="2:7" x14ac:dyDescent="0.45">
      <c r="B340" s="189">
        <v>44109</v>
      </c>
      <c r="C340" s="257">
        <v>648.65</v>
      </c>
      <c r="D340" s="123">
        <f t="shared" si="10"/>
        <v>-3.2472181617493434E-2</v>
      </c>
      <c r="E340" s="15"/>
      <c r="F340" s="256">
        <v>7504.05</v>
      </c>
      <c r="G340" s="123">
        <f t="shared" si="11"/>
        <v>-6.3493114406779627E-3</v>
      </c>
    </row>
    <row r="341" spans="2:7" x14ac:dyDescent="0.45">
      <c r="B341" s="189">
        <v>43895</v>
      </c>
      <c r="C341" s="257">
        <v>670.42</v>
      </c>
      <c r="D341" s="123">
        <f t="shared" si="10"/>
        <v>-5.7723931467764888E-2</v>
      </c>
      <c r="E341" s="15"/>
      <c r="F341" s="256">
        <v>7552</v>
      </c>
      <c r="G341" s="123">
        <f t="shared" si="11"/>
        <v>-5.7519749404085885E-2</v>
      </c>
    </row>
    <row r="342" spans="2:7" x14ac:dyDescent="0.45">
      <c r="B342" t="s">
        <v>308</v>
      </c>
      <c r="C342" s="257">
        <v>711.49</v>
      </c>
      <c r="D342" s="123">
        <f t="shared" si="10"/>
        <v>8.7389769375372683E-2</v>
      </c>
      <c r="E342" s="15"/>
      <c r="F342" s="256">
        <v>8012.9</v>
      </c>
      <c r="G342" s="123">
        <f t="shared" si="11"/>
        <v>6.9320539938212633E-2</v>
      </c>
    </row>
    <row r="343" spans="2:7" x14ac:dyDescent="0.45">
      <c r="B343" t="s">
        <v>307</v>
      </c>
      <c r="C343" s="257">
        <v>654.30999999999995</v>
      </c>
      <c r="D343" s="123">
        <f t="shared" si="10"/>
        <v>4.6510883994689944E-2</v>
      </c>
      <c r="E343" s="15"/>
      <c r="F343" s="256">
        <v>7493.45</v>
      </c>
      <c r="G343" s="123">
        <f t="shared" si="11"/>
        <v>-1.5884376969951597E-2</v>
      </c>
    </row>
    <row r="344" spans="2:7" x14ac:dyDescent="0.45">
      <c r="B344" s="189">
        <v>44169</v>
      </c>
      <c r="C344" s="257">
        <v>625.23</v>
      </c>
      <c r="D344" s="123">
        <f t="shared" si="10"/>
        <v>-1.1775305051526685E-2</v>
      </c>
      <c r="E344" s="15"/>
      <c r="F344" s="256">
        <v>7614.4</v>
      </c>
      <c r="G344" s="123">
        <f t="shared" si="11"/>
        <v>2.3213937769177573E-2</v>
      </c>
    </row>
    <row r="345" spans="2:7" x14ac:dyDescent="0.45">
      <c r="B345" s="189">
        <v>43955</v>
      </c>
      <c r="C345" s="257">
        <v>632.67999999999995</v>
      </c>
      <c r="D345" s="123">
        <f t="shared" si="10"/>
        <v>8.6295113491981823E-2</v>
      </c>
      <c r="E345" s="15"/>
      <c r="F345" s="256">
        <v>7441.65</v>
      </c>
      <c r="G345" s="123">
        <f t="shared" si="11"/>
        <v>0.12099209905926833</v>
      </c>
    </row>
    <row r="346" spans="2:7" x14ac:dyDescent="0.45">
      <c r="B346" t="s">
        <v>306</v>
      </c>
      <c r="C346" s="257">
        <v>582.41999999999996</v>
      </c>
      <c r="D346" s="123">
        <f t="shared" si="10"/>
        <v>-0.10264390484407737</v>
      </c>
      <c r="E346" s="15"/>
      <c r="F346" s="256">
        <v>6638.45</v>
      </c>
      <c r="G346" s="123">
        <f t="shared" si="11"/>
        <v>-5.2096868619079584E-2</v>
      </c>
    </row>
    <row r="347" spans="2:7" x14ac:dyDescent="0.45">
      <c r="B347" t="s">
        <v>305</v>
      </c>
      <c r="C347" s="257">
        <v>649.04</v>
      </c>
      <c r="D347" s="123">
        <f t="shared" si="10"/>
        <v>0.11534231509485848</v>
      </c>
      <c r="E347" s="15"/>
      <c r="F347" s="256">
        <v>7003.3</v>
      </c>
      <c r="G347" s="123">
        <f t="shared" si="11"/>
        <v>-2.1899135486934562E-2</v>
      </c>
    </row>
    <row r="348" spans="2:7" x14ac:dyDescent="0.45">
      <c r="B348" t="s">
        <v>304</v>
      </c>
      <c r="C348" s="257">
        <v>581.91999999999996</v>
      </c>
      <c r="D348" s="123">
        <f t="shared" si="10"/>
        <v>-8.8970645792563641E-2</v>
      </c>
      <c r="E348" s="15"/>
      <c r="F348" s="256">
        <v>7160.1</v>
      </c>
      <c r="G348" s="123">
        <f t="shared" si="11"/>
        <v>-0.12285924292539507</v>
      </c>
    </row>
    <row r="349" spans="2:7" x14ac:dyDescent="0.45">
      <c r="B349" s="189">
        <v>44046</v>
      </c>
      <c r="C349" s="257">
        <v>638.75</v>
      </c>
      <c r="D349" s="123">
        <f t="shared" si="10"/>
        <v>-0.13072767109865124</v>
      </c>
      <c r="E349" s="15"/>
      <c r="F349" s="256">
        <v>8163</v>
      </c>
      <c r="G349" s="123">
        <f t="shared" si="11"/>
        <v>-9.9001650119481921E-2</v>
      </c>
    </row>
    <row r="350" spans="2:7" x14ac:dyDescent="0.45">
      <c r="B350" s="189">
        <v>43833</v>
      </c>
      <c r="C350" s="257">
        <v>734.81</v>
      </c>
      <c r="D350" s="123">
        <f t="shared" si="10"/>
        <v>9.9092908191313889E-3</v>
      </c>
      <c r="E350" s="15"/>
      <c r="F350" s="256">
        <v>9059.9500000000007</v>
      </c>
      <c r="G350" s="123">
        <f t="shared" si="11"/>
        <v>-1.9066592320309939E-2</v>
      </c>
    </row>
    <row r="351" spans="2:7" x14ac:dyDescent="0.45">
      <c r="B351" t="s">
        <v>303</v>
      </c>
      <c r="C351" s="257">
        <v>727.6</v>
      </c>
      <c r="D351" s="123">
        <f t="shared" si="10"/>
        <v>-8.19274980126935E-2</v>
      </c>
      <c r="E351" s="15"/>
      <c r="F351" s="256">
        <v>9236.0499999999993</v>
      </c>
      <c r="G351" s="123">
        <f t="shared" si="11"/>
        <v>-7.256003574781722E-2</v>
      </c>
    </row>
    <row r="352" spans="2:7" x14ac:dyDescent="0.45">
      <c r="B352" t="s">
        <v>302</v>
      </c>
      <c r="C352" s="257">
        <v>792.53</v>
      </c>
      <c r="D352" s="123">
        <f t="shared" si="10"/>
        <v>1.3413636131144102E-2</v>
      </c>
      <c r="E352" s="15"/>
      <c r="F352" s="256">
        <v>9958.65</v>
      </c>
      <c r="G352" s="123">
        <f t="shared" si="11"/>
        <v>-2.409384552832794E-4</v>
      </c>
    </row>
    <row r="353" spans="2:7" x14ac:dyDescent="0.45">
      <c r="B353" s="189">
        <v>44076</v>
      </c>
      <c r="C353" s="257">
        <v>782.04</v>
      </c>
      <c r="D353" s="123">
        <f t="shared" si="10"/>
        <v>1.1773229487411552E-2</v>
      </c>
      <c r="E353" s="15"/>
      <c r="F353" s="256">
        <v>9961.0499999999993</v>
      </c>
      <c r="G353" s="123">
        <f t="shared" si="11"/>
        <v>-3.9697022723296227E-3</v>
      </c>
    </row>
    <row r="354" spans="2:7" x14ac:dyDescent="0.45">
      <c r="B354" s="189">
        <v>43863</v>
      </c>
      <c r="C354" s="257">
        <v>772.94</v>
      </c>
      <c r="D354" s="123">
        <f t="shared" si="10"/>
        <v>1.7366511145671115E-3</v>
      </c>
      <c r="E354" s="15"/>
      <c r="F354" s="256">
        <v>10000.75</v>
      </c>
      <c r="G354" s="123">
        <f t="shared" si="11"/>
        <v>1.4125711736103552E-2</v>
      </c>
    </row>
    <row r="355" spans="2:7" x14ac:dyDescent="0.45">
      <c r="B355" t="s">
        <v>301</v>
      </c>
      <c r="C355" s="257">
        <v>771.6</v>
      </c>
      <c r="D355" s="123">
        <f t="shared" si="10"/>
        <v>-8.6849272830052948E-3</v>
      </c>
      <c r="E355" s="15"/>
      <c r="F355" s="256">
        <v>9861.4500000000007</v>
      </c>
      <c r="G355" s="123">
        <f t="shared" si="11"/>
        <v>-2.2040520840564515E-2</v>
      </c>
    </row>
    <row r="356" spans="2:7" x14ac:dyDescent="0.45">
      <c r="B356" t="s">
        <v>300</v>
      </c>
      <c r="C356" s="257">
        <v>778.36</v>
      </c>
      <c r="D356" s="123">
        <f t="shared" si="10"/>
        <v>1.9396241241569134E-2</v>
      </c>
      <c r="E356" s="15"/>
      <c r="F356" s="256">
        <v>10083.700000000001</v>
      </c>
      <c r="G356" s="123">
        <f t="shared" si="11"/>
        <v>-3.4589423542550346E-3</v>
      </c>
    </row>
    <row r="357" spans="2:7" x14ac:dyDescent="0.45">
      <c r="B357" s="189">
        <v>44166</v>
      </c>
      <c r="C357" s="257">
        <v>763.55</v>
      </c>
      <c r="D357" s="123">
        <f t="shared" si="10"/>
        <v>4.0244683314941243E-2</v>
      </c>
      <c r="E357" s="15"/>
      <c r="F357" s="256">
        <v>10118.700000000001</v>
      </c>
      <c r="G357" s="123">
        <f t="shared" si="11"/>
        <v>1.4101022248947714E-2</v>
      </c>
    </row>
    <row r="358" spans="2:7" x14ac:dyDescent="0.45">
      <c r="B358" s="189">
        <v>43952</v>
      </c>
      <c r="C358" s="257">
        <v>734.01</v>
      </c>
      <c r="D358" s="123">
        <f t="shared" si="10"/>
        <v>-1.0528160470195003E-2</v>
      </c>
      <c r="E358" s="15"/>
      <c r="F358" s="256">
        <v>9978</v>
      </c>
      <c r="G358" s="123">
        <f t="shared" si="11"/>
        <v>3.6563347130507129E-3</v>
      </c>
    </row>
    <row r="359" spans="2:7" x14ac:dyDescent="0.45">
      <c r="B359" t="s">
        <v>299</v>
      </c>
      <c r="C359" s="257">
        <v>741.82</v>
      </c>
      <c r="D359" s="123">
        <f t="shared" si="10"/>
        <v>1.2281324199667099E-2</v>
      </c>
      <c r="E359" s="15"/>
      <c r="F359" s="256">
        <v>9941.65</v>
      </c>
      <c r="G359" s="123">
        <f t="shared" si="11"/>
        <v>3.3253605417460363E-3</v>
      </c>
    </row>
    <row r="360" spans="2:7" x14ac:dyDescent="0.45">
      <c r="B360" t="s">
        <v>298</v>
      </c>
      <c r="C360" s="257">
        <v>732.82</v>
      </c>
      <c r="D360" s="123">
        <f t="shared" si="10"/>
        <v>7.3819506495291787E-3</v>
      </c>
      <c r="E360" s="15"/>
      <c r="F360" s="256">
        <v>9908.7000000000007</v>
      </c>
      <c r="G360" s="123">
        <f t="shared" si="11"/>
        <v>3.38201073157407E-4</v>
      </c>
    </row>
    <row r="361" spans="2:7" x14ac:dyDescent="0.45">
      <c r="B361" t="s">
        <v>297</v>
      </c>
      <c r="C361" s="257">
        <v>727.45</v>
      </c>
      <c r="D361" s="123">
        <f t="shared" si="10"/>
        <v>2.8474077844226953E-2</v>
      </c>
      <c r="E361" s="15"/>
      <c r="F361" s="256">
        <v>9905.35</v>
      </c>
      <c r="G361" s="123">
        <f t="shared" si="11"/>
        <v>1.2444294533709543E-2</v>
      </c>
    </row>
    <row r="362" spans="2:7" x14ac:dyDescent="0.45">
      <c r="B362" s="189">
        <v>43689</v>
      </c>
      <c r="C362" s="257">
        <v>707.31</v>
      </c>
      <c r="D362" s="123">
        <f t="shared" si="10"/>
        <v>-5.3157828123023831E-3</v>
      </c>
      <c r="E362" s="15"/>
      <c r="F362" s="256">
        <v>9783.6</v>
      </c>
      <c r="G362" s="123">
        <f t="shared" si="11"/>
        <v>1.1810453595879844E-2</v>
      </c>
    </row>
    <row r="363" spans="2:7" x14ac:dyDescent="0.45">
      <c r="B363" s="189">
        <v>43477</v>
      </c>
      <c r="C363" s="257">
        <v>711.09</v>
      </c>
      <c r="D363" s="123">
        <f t="shared" si="10"/>
        <v>2.6918911112715715E-2</v>
      </c>
      <c r="E363" s="15"/>
      <c r="F363" s="256">
        <v>9669.4</v>
      </c>
      <c r="G363" s="123">
        <f t="shared" si="11"/>
        <v>-1.4698914267372465E-2</v>
      </c>
    </row>
    <row r="364" spans="2:7" x14ac:dyDescent="0.45">
      <c r="B364" t="s">
        <v>296</v>
      </c>
      <c r="C364" s="257">
        <v>692.45</v>
      </c>
      <c r="D364" s="123">
        <f t="shared" si="10"/>
        <v>4.5407067834968284E-3</v>
      </c>
      <c r="E364" s="15"/>
      <c r="F364" s="256">
        <v>9813.65</v>
      </c>
      <c r="G364" s="123">
        <f t="shared" si="11"/>
        <v>1.3880135960245177E-2</v>
      </c>
    </row>
    <row r="365" spans="2:7" x14ac:dyDescent="0.45">
      <c r="B365" t="s">
        <v>295</v>
      </c>
      <c r="C365" s="257">
        <v>689.32</v>
      </c>
      <c r="D365" s="123">
        <f t="shared" si="10"/>
        <v>-1.5200868621064068E-2</v>
      </c>
      <c r="E365" s="15"/>
      <c r="F365" s="256">
        <v>9679.2999999999993</v>
      </c>
      <c r="G365" s="123">
        <f t="shared" si="11"/>
        <v>1.2412979839251381E-3</v>
      </c>
    </row>
    <row r="366" spans="2:7" x14ac:dyDescent="0.45">
      <c r="B366" s="189">
        <v>43749</v>
      </c>
      <c r="C366" s="257">
        <v>699.96</v>
      </c>
      <c r="D366" s="123">
        <f t="shared" si="10"/>
        <v>-5.99278593541408E-3</v>
      </c>
      <c r="E366" s="15"/>
      <c r="F366" s="256">
        <v>9667.2999999999993</v>
      </c>
      <c r="G366" s="123">
        <f t="shared" si="11"/>
        <v>-1.6523292679148094E-3</v>
      </c>
    </row>
    <row r="367" spans="2:7" x14ac:dyDescent="0.45">
      <c r="B367" s="189">
        <v>43535</v>
      </c>
      <c r="C367" s="257">
        <v>704.18</v>
      </c>
      <c r="D367" s="123">
        <f t="shared" si="10"/>
        <v>2.9442722647798458E-2</v>
      </c>
      <c r="E367" s="15"/>
      <c r="F367" s="256">
        <v>9683.2999999999993</v>
      </c>
      <c r="G367" s="123">
        <f t="shared" si="11"/>
        <v>-2.1331409727948225E-3</v>
      </c>
    </row>
    <row r="368" spans="2:7" x14ac:dyDescent="0.45">
      <c r="B368" t="s">
        <v>294</v>
      </c>
      <c r="C368" s="257">
        <v>684.04</v>
      </c>
      <c r="D368" s="123">
        <f t="shared" si="10"/>
        <v>7.9131696851139077E-2</v>
      </c>
      <c r="E368" s="15"/>
      <c r="F368" s="256">
        <v>9704</v>
      </c>
      <c r="G368" s="123">
        <f t="shared" si="11"/>
        <v>2.8936179236780379E-2</v>
      </c>
    </row>
    <row r="369" spans="2:7" x14ac:dyDescent="0.45">
      <c r="B369" t="s">
        <v>293</v>
      </c>
      <c r="C369" s="257">
        <v>633.88</v>
      </c>
      <c r="D369" s="123">
        <f t="shared" si="10"/>
        <v>-0.16982515879772109</v>
      </c>
      <c r="E369" s="15"/>
      <c r="F369" s="256">
        <v>9431.1</v>
      </c>
      <c r="G369" s="123">
        <f t="shared" si="11"/>
        <v>-5.074267870706417E-3</v>
      </c>
    </row>
    <row r="370" spans="2:7" x14ac:dyDescent="0.45">
      <c r="B370" t="s">
        <v>292</v>
      </c>
      <c r="C370" s="257">
        <v>763.55</v>
      </c>
      <c r="D370" s="123">
        <f t="shared" si="10"/>
        <v>-5.7613270305962527E-2</v>
      </c>
      <c r="E370" s="15"/>
      <c r="F370" s="256">
        <v>9479.2000000000007</v>
      </c>
      <c r="G370" s="123">
        <f t="shared" si="11"/>
        <v>3.4689021328617953E-2</v>
      </c>
    </row>
    <row r="371" spans="2:7" x14ac:dyDescent="0.45">
      <c r="B371" s="189">
        <v>43626</v>
      </c>
      <c r="C371" s="257">
        <v>810.23</v>
      </c>
      <c r="D371" s="123">
        <f t="shared" si="10"/>
        <v>2.6907477820025338E-2</v>
      </c>
      <c r="E371" s="15"/>
      <c r="F371" s="256">
        <v>9161.4</v>
      </c>
      <c r="G371" s="123">
        <f t="shared" si="11"/>
        <v>7.6718747422084288E-3</v>
      </c>
    </row>
    <row r="372" spans="2:7" x14ac:dyDescent="0.45">
      <c r="B372" t="s">
        <v>291</v>
      </c>
      <c r="C372" s="257">
        <v>789</v>
      </c>
      <c r="D372" s="123">
        <f t="shared" si="10"/>
        <v>1.4373505438276091E-2</v>
      </c>
      <c r="E372" s="15"/>
      <c r="F372" s="256">
        <v>9091.65</v>
      </c>
      <c r="G372" s="123">
        <f t="shared" si="11"/>
        <v>-3.2350249052748192E-2</v>
      </c>
    </row>
    <row r="373" spans="2:7" x14ac:dyDescent="0.45">
      <c r="B373" t="s">
        <v>290</v>
      </c>
      <c r="C373" s="257">
        <v>777.82</v>
      </c>
      <c r="D373" s="123">
        <f t="shared" si="10"/>
        <v>-2.8320153905732726E-2</v>
      </c>
      <c r="E373" s="15"/>
      <c r="F373" s="256">
        <v>9395.6</v>
      </c>
      <c r="G373" s="123">
        <f t="shared" si="11"/>
        <v>1.7886355018688072E-2</v>
      </c>
    </row>
    <row r="374" spans="2:7" x14ac:dyDescent="0.45">
      <c r="B374" t="s">
        <v>289</v>
      </c>
      <c r="C374" s="257">
        <v>800.49</v>
      </c>
      <c r="D374" s="123">
        <f t="shared" si="10"/>
        <v>-2.9297277632935104E-2</v>
      </c>
      <c r="E374" s="15"/>
      <c r="F374" s="256">
        <v>9230.5</v>
      </c>
      <c r="G374" s="123">
        <f t="shared" si="11"/>
        <v>1.9848964461901319E-2</v>
      </c>
    </row>
    <row r="375" spans="2:7" x14ac:dyDescent="0.45">
      <c r="B375" s="189">
        <v>43686</v>
      </c>
      <c r="C375" s="257">
        <v>824.65</v>
      </c>
      <c r="D375" s="123">
        <f t="shared" si="10"/>
        <v>-1.2915349995212155E-2</v>
      </c>
      <c r="E375" s="15"/>
      <c r="F375" s="256">
        <v>9050.85</v>
      </c>
      <c r="G375" s="123">
        <f t="shared" si="11"/>
        <v>1.4623783686830372E-2</v>
      </c>
    </row>
    <row r="376" spans="2:7" x14ac:dyDescent="0.45">
      <c r="B376" s="189">
        <v>43474</v>
      </c>
      <c r="C376" s="257">
        <v>835.44</v>
      </c>
      <c r="D376" s="123">
        <f t="shared" si="10"/>
        <v>3.0987375513679583E-2</v>
      </c>
      <c r="E376" s="15"/>
      <c r="F376" s="256">
        <v>8920.4</v>
      </c>
      <c r="G376" s="123">
        <f t="shared" si="11"/>
        <v>-6.3658793323344565E-3</v>
      </c>
    </row>
    <row r="377" spans="2:7" x14ac:dyDescent="0.45">
      <c r="B377" t="s">
        <v>288</v>
      </c>
      <c r="C377" s="257">
        <v>810.33</v>
      </c>
      <c r="D377" s="123">
        <f t="shared" si="10"/>
        <v>1.5833019932305348E-2</v>
      </c>
      <c r="E377" s="15"/>
      <c r="F377" s="256">
        <v>8977.5499999999993</v>
      </c>
      <c r="G377" s="123">
        <f t="shared" si="11"/>
        <v>2.1272844133757296E-2</v>
      </c>
    </row>
    <row r="378" spans="2:7" x14ac:dyDescent="0.45">
      <c r="B378" t="s">
        <v>287</v>
      </c>
      <c r="C378" s="257">
        <v>797.7</v>
      </c>
      <c r="D378" s="123">
        <f t="shared" si="10"/>
        <v>3.5691564638215656E-2</v>
      </c>
      <c r="E378" s="15"/>
      <c r="F378" s="256">
        <v>8790.5499999999993</v>
      </c>
      <c r="G378" s="123">
        <f t="shared" si="11"/>
        <v>-2.2055224279102892E-2</v>
      </c>
    </row>
    <row r="379" spans="2:7" x14ac:dyDescent="0.45">
      <c r="B379" s="189">
        <v>43777</v>
      </c>
      <c r="C379" s="257">
        <v>770.21</v>
      </c>
      <c r="D379" s="123">
        <f t="shared" si="10"/>
        <v>-1.9365435053856461E-2</v>
      </c>
      <c r="E379" s="15"/>
      <c r="F379" s="256">
        <v>8988.7999999999993</v>
      </c>
      <c r="G379" s="123">
        <f t="shared" si="11"/>
        <v>-6.3836490153704739E-3</v>
      </c>
    </row>
    <row r="380" spans="2:7" x14ac:dyDescent="0.45">
      <c r="B380" s="189">
        <v>43563</v>
      </c>
      <c r="C380" s="257">
        <v>785.42</v>
      </c>
      <c r="D380" s="123">
        <f t="shared" si="10"/>
        <v>1.837277147487848E-2</v>
      </c>
      <c r="E380" s="15"/>
      <c r="F380" s="256">
        <v>9046.5499999999993</v>
      </c>
      <c r="G380" s="123">
        <f t="shared" si="11"/>
        <v>1.1471441589006925E-2</v>
      </c>
    </row>
    <row r="381" spans="2:7" x14ac:dyDescent="0.45">
      <c r="B381" t="s">
        <v>286</v>
      </c>
      <c r="C381" s="257">
        <v>771.25</v>
      </c>
      <c r="D381" s="123">
        <f t="shared" si="10"/>
        <v>-1.4490346158269385E-2</v>
      </c>
      <c r="E381" s="15"/>
      <c r="F381" s="256">
        <v>8943.9500000000007</v>
      </c>
      <c r="G381" s="123">
        <f t="shared" si="11"/>
        <v>-2.7048930661619064E-2</v>
      </c>
    </row>
    <row r="382" spans="2:7" x14ac:dyDescent="0.45">
      <c r="B382" t="s">
        <v>285</v>
      </c>
      <c r="C382" s="257">
        <v>782.59</v>
      </c>
      <c r="D382" s="123">
        <f t="shared" si="10"/>
        <v>2.0358514724712062E-3</v>
      </c>
      <c r="E382" s="15"/>
      <c r="F382" s="256">
        <v>9192.6</v>
      </c>
      <c r="G382" s="123">
        <f t="shared" si="11"/>
        <v>-1.2042365913817243E-2</v>
      </c>
    </row>
    <row r="383" spans="2:7" x14ac:dyDescent="0.45">
      <c r="B383" t="s">
        <v>284</v>
      </c>
      <c r="C383" s="257">
        <v>781</v>
      </c>
      <c r="D383" s="123">
        <f t="shared" si="10"/>
        <v>8.0699618088227121E-2</v>
      </c>
      <c r="E383" s="15"/>
      <c r="F383" s="256">
        <v>9304.65</v>
      </c>
      <c r="G383" s="123">
        <f t="shared" si="11"/>
        <v>-1.6187782506410175E-2</v>
      </c>
    </row>
    <row r="384" spans="2:7" x14ac:dyDescent="0.45">
      <c r="B384" s="189">
        <v>43653</v>
      </c>
      <c r="C384" s="257">
        <v>722.68</v>
      </c>
      <c r="D384" s="123">
        <f t="shared" si="10"/>
        <v>1.2185215272136452E-2</v>
      </c>
      <c r="E384" s="15"/>
      <c r="F384" s="256">
        <v>9457.75</v>
      </c>
      <c r="G384" s="123">
        <f t="shared" si="11"/>
        <v>-2.0698617158418364E-2</v>
      </c>
    </row>
    <row r="385" spans="2:7" x14ac:dyDescent="0.45">
      <c r="B385" t="s">
        <v>283</v>
      </c>
      <c r="C385" s="257">
        <v>713.98</v>
      </c>
      <c r="D385" s="123">
        <f t="shared" si="10"/>
        <v>-1.9123505976095578E-2</v>
      </c>
      <c r="E385" s="15"/>
      <c r="F385" s="256">
        <v>9657.65</v>
      </c>
      <c r="G385" s="123">
        <f t="shared" si="11"/>
        <v>-3.1062492558020516E-5</v>
      </c>
    </row>
    <row r="386" spans="2:7" x14ac:dyDescent="0.45">
      <c r="B386" t="s">
        <v>282</v>
      </c>
      <c r="C386" s="257">
        <v>727.9</v>
      </c>
      <c r="D386" s="123">
        <f t="shared" si="10"/>
        <v>-2.4262734584450385E-2</v>
      </c>
      <c r="E386" s="15"/>
      <c r="F386" s="256">
        <v>9657.9500000000007</v>
      </c>
      <c r="G386" s="123">
        <f t="shared" si="11"/>
        <v>7.968397762377899E-3</v>
      </c>
    </row>
    <row r="387" spans="2:7" x14ac:dyDescent="0.45">
      <c r="B387" t="s">
        <v>281</v>
      </c>
      <c r="C387" s="257">
        <v>746</v>
      </c>
      <c r="D387" s="123">
        <f t="shared" si="10"/>
        <v>1.3173977998098607E-2</v>
      </c>
      <c r="E387" s="15"/>
      <c r="F387" s="256">
        <v>9581.6</v>
      </c>
      <c r="G387" s="123">
        <f t="shared" si="11"/>
        <v>-9.136551895304601E-3</v>
      </c>
    </row>
    <row r="388" spans="2:7" x14ac:dyDescent="0.45">
      <c r="B388" s="189">
        <v>43714</v>
      </c>
      <c r="C388" s="257">
        <v>736.3</v>
      </c>
      <c r="D388" s="123">
        <f t="shared" ref="D388:D451" si="12">IFERROR((C388/C389)-1,0)</f>
        <v>1.8232284750190342E-3</v>
      </c>
      <c r="E388" s="15"/>
      <c r="F388" s="256">
        <v>9669.9500000000007</v>
      </c>
      <c r="G388" s="123">
        <f t="shared" ref="G388:G451" si="13">IFERROR((F388/F389)-1,0)</f>
        <v>-6.7687977937210819E-3</v>
      </c>
    </row>
    <row r="389" spans="2:7" x14ac:dyDescent="0.45">
      <c r="B389" s="189">
        <v>43502</v>
      </c>
      <c r="C389" s="257">
        <v>734.96</v>
      </c>
      <c r="D389" s="123">
        <f t="shared" si="12"/>
        <v>1.8265587088683866E-3</v>
      </c>
      <c r="E389" s="15"/>
      <c r="F389" s="256">
        <v>9735.85</v>
      </c>
      <c r="G389" s="123">
        <f t="shared" si="13"/>
        <v>-7.0575876716588715E-3</v>
      </c>
    </row>
    <row r="390" spans="2:7" x14ac:dyDescent="0.45">
      <c r="B390" t="s">
        <v>280</v>
      </c>
      <c r="C390" s="257">
        <v>733.62</v>
      </c>
      <c r="D390" s="123">
        <f t="shared" si="12"/>
        <v>4.0256370262183871E-2</v>
      </c>
      <c r="E390" s="15"/>
      <c r="F390" s="256">
        <v>9805.0499999999993</v>
      </c>
      <c r="G390" s="123">
        <f t="shared" si="13"/>
        <v>8.5372940892096683E-3</v>
      </c>
    </row>
    <row r="391" spans="2:7" x14ac:dyDescent="0.45">
      <c r="B391" t="s">
        <v>279</v>
      </c>
      <c r="C391" s="257">
        <v>705.23</v>
      </c>
      <c r="D391" s="123">
        <f t="shared" si="12"/>
        <v>-2.0296176928206289E-2</v>
      </c>
      <c r="E391" s="15"/>
      <c r="F391" s="256">
        <v>9722.0499999999993</v>
      </c>
      <c r="G391" s="123">
        <f t="shared" si="13"/>
        <v>4.2053870971199281E-2</v>
      </c>
    </row>
    <row r="392" spans="2:7" x14ac:dyDescent="0.45">
      <c r="B392" s="189">
        <v>43804</v>
      </c>
      <c r="C392" s="257">
        <v>719.84</v>
      </c>
      <c r="D392" s="123">
        <f t="shared" si="12"/>
        <v>9.8340417771418664E-3</v>
      </c>
      <c r="E392" s="15"/>
      <c r="F392" s="256">
        <v>9329.7000000000007</v>
      </c>
      <c r="G392" s="123">
        <f t="shared" si="13"/>
        <v>4.2517922111471318E-3</v>
      </c>
    </row>
    <row r="393" spans="2:7" x14ac:dyDescent="0.45">
      <c r="B393" s="189">
        <v>43590</v>
      </c>
      <c r="C393" s="257">
        <v>712.83</v>
      </c>
      <c r="D393" s="123">
        <f t="shared" si="12"/>
        <v>-9.3254023403840369E-3</v>
      </c>
      <c r="E393" s="15"/>
      <c r="F393" s="256">
        <v>9290.2000000000007</v>
      </c>
      <c r="G393" s="123">
        <f t="shared" si="13"/>
        <v>-3.4739286512096568E-2</v>
      </c>
    </row>
    <row r="394" spans="2:7" x14ac:dyDescent="0.45">
      <c r="B394" t="s">
        <v>278</v>
      </c>
      <c r="C394" s="257">
        <v>719.54</v>
      </c>
      <c r="D394" s="123">
        <f t="shared" si="12"/>
        <v>-1.9513258659689892E-2</v>
      </c>
      <c r="E394" s="15"/>
      <c r="F394" s="256">
        <v>9624.5499999999993</v>
      </c>
      <c r="G394" s="123">
        <f t="shared" si="13"/>
        <v>-6.7236343746454041E-3</v>
      </c>
    </row>
    <row r="395" spans="2:7" x14ac:dyDescent="0.45">
      <c r="B395" t="s">
        <v>277</v>
      </c>
      <c r="C395" s="257">
        <v>733.86</v>
      </c>
      <c r="D395" s="123">
        <f t="shared" si="12"/>
        <v>2.921335708174988E-2</v>
      </c>
      <c r="E395" s="15"/>
      <c r="F395" s="256">
        <v>9689.7000000000007</v>
      </c>
      <c r="G395" s="123">
        <f t="shared" si="13"/>
        <v>-5.0314723731093025E-3</v>
      </c>
    </row>
    <row r="396" spans="2:7" x14ac:dyDescent="0.45">
      <c r="B396" t="s">
        <v>276</v>
      </c>
      <c r="C396" s="257">
        <v>713.03</v>
      </c>
      <c r="D396" s="123">
        <f t="shared" si="12"/>
        <v>-4.1059228576039608E-2</v>
      </c>
      <c r="E396" s="15"/>
      <c r="F396" s="256">
        <v>9738.7000000000007</v>
      </c>
      <c r="G396" s="123">
        <f t="shared" si="13"/>
        <v>6.6255969239039647E-3</v>
      </c>
    </row>
    <row r="397" spans="2:7" x14ac:dyDescent="0.45">
      <c r="B397" s="189">
        <v>43650</v>
      </c>
      <c r="C397" s="257">
        <v>743.56</v>
      </c>
      <c r="D397" s="123">
        <f t="shared" si="12"/>
        <v>-1.5204492477219778E-2</v>
      </c>
      <c r="E397" s="15"/>
      <c r="F397" s="256">
        <v>9674.6</v>
      </c>
      <c r="G397" s="123">
        <f t="shared" si="13"/>
        <v>-1.0686683978751166E-3</v>
      </c>
    </row>
    <row r="398" spans="2:7" x14ac:dyDescent="0.45">
      <c r="B398" t="s">
        <v>275</v>
      </c>
      <c r="C398" s="257">
        <v>755.04</v>
      </c>
      <c r="D398" s="123">
        <f t="shared" si="12"/>
        <v>1.5043355515224732E-2</v>
      </c>
      <c r="E398" s="15"/>
      <c r="F398" s="256">
        <v>9684.9500000000007</v>
      </c>
      <c r="G398" s="123">
        <f t="shared" si="13"/>
        <v>2.1989507124600127E-3</v>
      </c>
    </row>
    <row r="399" spans="2:7" x14ac:dyDescent="0.45">
      <c r="B399" t="s">
        <v>274</v>
      </c>
      <c r="C399" s="257">
        <v>743.85</v>
      </c>
      <c r="D399" s="123">
        <f t="shared" si="12"/>
        <v>1.0092854259184936E-3</v>
      </c>
      <c r="E399" s="15"/>
      <c r="F399" s="256">
        <v>9663.7000000000007</v>
      </c>
      <c r="G399" s="123">
        <f t="shared" si="13"/>
        <v>1.7226225125131167E-2</v>
      </c>
    </row>
    <row r="400" spans="2:7" x14ac:dyDescent="0.45">
      <c r="B400" t="s">
        <v>273</v>
      </c>
      <c r="C400" s="257">
        <v>743.1</v>
      </c>
      <c r="D400" s="123">
        <f t="shared" si="12"/>
        <v>3.4166028808016335E-2</v>
      </c>
      <c r="E400" s="15"/>
      <c r="F400" s="256">
        <v>9500.0499999999993</v>
      </c>
      <c r="G400" s="123">
        <f t="shared" si="13"/>
        <v>6.8425374234015734E-5</v>
      </c>
    </row>
    <row r="401" spans="2:7" x14ac:dyDescent="0.45">
      <c r="B401" s="189">
        <v>43741</v>
      </c>
      <c r="C401" s="257">
        <v>718.55</v>
      </c>
      <c r="D401" s="123">
        <f t="shared" si="12"/>
        <v>8.7035867200111472E-3</v>
      </c>
      <c r="E401" s="15"/>
      <c r="F401" s="256">
        <v>9499.4</v>
      </c>
      <c r="G401" s="123">
        <f t="shared" si="13"/>
        <v>3.1304791527567488E-2</v>
      </c>
    </row>
    <row r="402" spans="2:7" x14ac:dyDescent="0.45">
      <c r="B402" s="189">
        <v>43527</v>
      </c>
      <c r="C402" s="257">
        <v>712.35</v>
      </c>
      <c r="D402" s="123">
        <f t="shared" si="12"/>
        <v>-3.9830165790537775E-2</v>
      </c>
      <c r="E402" s="15"/>
      <c r="F402" s="256">
        <v>9211.0499999999993</v>
      </c>
      <c r="G402" s="123">
        <f t="shared" si="13"/>
        <v>1.9203319502074656E-2</v>
      </c>
    </row>
    <row r="403" spans="2:7" x14ac:dyDescent="0.45">
      <c r="B403" t="s">
        <v>272</v>
      </c>
      <c r="C403" s="257">
        <v>741.9</v>
      </c>
      <c r="D403" s="123">
        <f t="shared" si="12"/>
        <v>9.4564256071840713E-3</v>
      </c>
      <c r="E403" s="15"/>
      <c r="F403" s="256">
        <v>9037.5</v>
      </c>
      <c r="G403" s="123">
        <f t="shared" si="13"/>
        <v>1.3201042630118565E-2</v>
      </c>
    </row>
    <row r="404" spans="2:7" x14ac:dyDescent="0.45">
      <c r="B404" t="s">
        <v>271</v>
      </c>
      <c r="C404" s="257">
        <v>734.95</v>
      </c>
      <c r="D404" s="123">
        <f t="shared" si="12"/>
        <v>-9.4345980187343637E-3</v>
      </c>
      <c r="E404" s="15"/>
      <c r="F404" s="256">
        <v>8919.75</v>
      </c>
      <c r="G404" s="123">
        <f t="shared" si="13"/>
        <v>1.0501809777898607E-2</v>
      </c>
    </row>
    <row r="405" spans="2:7" x14ac:dyDescent="0.45">
      <c r="B405" s="189">
        <v>43740</v>
      </c>
      <c r="C405" s="257">
        <v>741.95</v>
      </c>
      <c r="D405" s="123">
        <f t="shared" si="12"/>
        <v>-2.4904718096990353E-2</v>
      </c>
      <c r="E405" s="15"/>
      <c r="F405" s="256">
        <v>8827.0499999999993</v>
      </c>
      <c r="G405" s="123">
        <f t="shared" si="13"/>
        <v>-2.3221458686053853E-2</v>
      </c>
    </row>
    <row r="406" spans="2:7" x14ac:dyDescent="0.45">
      <c r="B406" s="189">
        <v>43526</v>
      </c>
      <c r="C406" s="257">
        <v>760.9</v>
      </c>
      <c r="D406" s="123">
        <f t="shared" si="12"/>
        <v>5.0855293573739413E-3</v>
      </c>
      <c r="E406" s="15"/>
      <c r="F406" s="256">
        <v>9036.9</v>
      </c>
      <c r="G406" s="123">
        <f t="shared" si="13"/>
        <v>-2.1421551847884412E-3</v>
      </c>
    </row>
    <row r="407" spans="2:7" x14ac:dyDescent="0.45">
      <c r="B407" t="s">
        <v>270</v>
      </c>
      <c r="C407" s="257">
        <v>757.05</v>
      </c>
      <c r="D407" s="123">
        <f t="shared" si="12"/>
        <v>3.6557814746354333E-2</v>
      </c>
      <c r="E407" s="15"/>
      <c r="F407" s="256">
        <v>9056.2999999999993</v>
      </c>
      <c r="G407" s="123">
        <f t="shared" si="13"/>
        <v>6.8876572514966483E-3</v>
      </c>
    </row>
    <row r="408" spans="2:7" x14ac:dyDescent="0.45">
      <c r="B408" t="s">
        <v>269</v>
      </c>
      <c r="C408" s="257">
        <v>730.35</v>
      </c>
      <c r="D408" s="123">
        <f t="shared" si="12"/>
        <v>4.6770754522318381E-3</v>
      </c>
      <c r="E408" s="15"/>
      <c r="F408" s="256">
        <v>8994.35</v>
      </c>
      <c r="G408" s="123">
        <f t="shared" si="13"/>
        <v>-1.5946215030470112E-2</v>
      </c>
    </row>
    <row r="409" spans="2:7" x14ac:dyDescent="0.45">
      <c r="B409" t="s">
        <v>268</v>
      </c>
      <c r="C409" s="257">
        <v>726.95</v>
      </c>
      <c r="D409" s="123">
        <f t="shared" si="12"/>
        <v>6.9421560550782635E-2</v>
      </c>
      <c r="E409" s="15"/>
      <c r="F409" s="256">
        <v>9140.1</v>
      </c>
      <c r="G409" s="123">
        <f t="shared" si="13"/>
        <v>4.6053065441515884E-3</v>
      </c>
    </row>
    <row r="410" spans="2:7" x14ac:dyDescent="0.45">
      <c r="B410" s="189">
        <v>43617</v>
      </c>
      <c r="C410" s="257">
        <v>679.76</v>
      </c>
      <c r="D410" s="123">
        <f t="shared" si="12"/>
        <v>3.3949866147481078E-2</v>
      </c>
      <c r="E410" s="15"/>
      <c r="F410" s="256">
        <v>9098.2000000000007</v>
      </c>
      <c r="G410" s="123">
        <f t="shared" si="13"/>
        <v>4.7819412693681507E-3</v>
      </c>
    </row>
    <row r="411" spans="2:7" x14ac:dyDescent="0.45">
      <c r="B411" t="s">
        <v>267</v>
      </c>
      <c r="C411" s="257">
        <v>657.44</v>
      </c>
      <c r="D411" s="123">
        <f t="shared" si="12"/>
        <v>6.2446430757929772E-3</v>
      </c>
      <c r="E411" s="15"/>
      <c r="F411" s="256">
        <v>9054.9</v>
      </c>
      <c r="G411" s="123">
        <f t="shared" si="13"/>
        <v>-1.0669157775701765E-2</v>
      </c>
    </row>
    <row r="412" spans="2:7" x14ac:dyDescent="0.45">
      <c r="B412" t="s">
        <v>266</v>
      </c>
      <c r="C412" s="257">
        <v>653.36</v>
      </c>
      <c r="D412" s="123">
        <f t="shared" si="12"/>
        <v>1.6633731152846831E-2</v>
      </c>
      <c r="E412" s="15"/>
      <c r="F412" s="256">
        <v>9152.5499999999993</v>
      </c>
      <c r="G412" s="123">
        <f t="shared" si="13"/>
        <v>7.7070866661894666E-3</v>
      </c>
    </row>
    <row r="413" spans="2:7" x14ac:dyDescent="0.45">
      <c r="B413" t="s">
        <v>265</v>
      </c>
      <c r="C413" s="257">
        <v>642.66999999999996</v>
      </c>
      <c r="D413" s="123">
        <f t="shared" si="12"/>
        <v>-8.4763383129922265E-2</v>
      </c>
      <c r="E413" s="15"/>
      <c r="F413" s="256">
        <v>9082.5499999999993</v>
      </c>
      <c r="G413" s="123">
        <f t="shared" si="13"/>
        <v>-9.6245861427957102E-4</v>
      </c>
    </row>
    <row r="414" spans="2:7" x14ac:dyDescent="0.45">
      <c r="B414" s="189">
        <v>43355</v>
      </c>
      <c r="C414" s="257">
        <v>702.19</v>
      </c>
      <c r="D414" s="123">
        <f t="shared" si="12"/>
        <v>3.4046563682683662E-2</v>
      </c>
      <c r="E414" s="15"/>
      <c r="F414" s="256">
        <v>9091.2999999999993</v>
      </c>
      <c r="G414" s="123">
        <f t="shared" si="13"/>
        <v>1.6850005312812888E-2</v>
      </c>
    </row>
    <row r="415" spans="2:7" x14ac:dyDescent="0.45">
      <c r="B415" s="189">
        <v>43143</v>
      </c>
      <c r="C415" s="257">
        <v>679.07</v>
      </c>
      <c r="D415" s="123">
        <f t="shared" si="12"/>
        <v>2.3003916842422534E-2</v>
      </c>
      <c r="E415" s="15"/>
      <c r="F415" s="256">
        <v>8940.65</v>
      </c>
      <c r="G415" s="123">
        <f t="shared" si="13"/>
        <v>-1.8497883995762465E-2</v>
      </c>
    </row>
    <row r="416" spans="2:7" x14ac:dyDescent="0.45">
      <c r="B416" t="s">
        <v>264</v>
      </c>
      <c r="C416" s="257">
        <v>663.8</v>
      </c>
      <c r="D416" s="123">
        <f t="shared" si="12"/>
        <v>7.5223532460800824E-2</v>
      </c>
      <c r="E416" s="15"/>
      <c r="F416" s="256">
        <v>9109.15</v>
      </c>
      <c r="G416" s="123">
        <f t="shared" si="13"/>
        <v>2.59207117918685E-2</v>
      </c>
    </row>
    <row r="417" spans="2:7" x14ac:dyDescent="0.45">
      <c r="B417" t="s">
        <v>263</v>
      </c>
      <c r="C417" s="257">
        <v>617.36</v>
      </c>
      <c r="D417" s="123">
        <f t="shared" si="12"/>
        <v>-4.6238934635171147E-2</v>
      </c>
      <c r="E417" s="15"/>
      <c r="F417" s="256">
        <v>8879</v>
      </c>
      <c r="G417" s="123">
        <f t="shared" si="13"/>
        <v>-1.2703972423762311E-2</v>
      </c>
    </row>
    <row r="418" spans="2:7" x14ac:dyDescent="0.45">
      <c r="B418" s="189">
        <v>43415</v>
      </c>
      <c r="C418" s="257">
        <v>647.29</v>
      </c>
      <c r="D418" s="123">
        <f t="shared" si="12"/>
        <v>-1.3127001067235855E-2</v>
      </c>
      <c r="E418" s="15"/>
      <c r="F418" s="256">
        <v>8993.25</v>
      </c>
      <c r="G418" s="123">
        <f t="shared" si="13"/>
        <v>5.2423614099603721E-3</v>
      </c>
    </row>
    <row r="419" spans="2:7" x14ac:dyDescent="0.45">
      <c r="B419" s="189">
        <v>43201</v>
      </c>
      <c r="C419" s="257">
        <v>655.9</v>
      </c>
      <c r="D419" s="123">
        <f t="shared" si="12"/>
        <v>-4.1449675842278877E-3</v>
      </c>
      <c r="E419" s="15"/>
      <c r="F419" s="256">
        <v>8946.35</v>
      </c>
      <c r="G419" s="123">
        <f t="shared" si="13"/>
        <v>5.2756365597681487E-3</v>
      </c>
    </row>
    <row r="420" spans="2:7" x14ac:dyDescent="0.45">
      <c r="B420" t="s">
        <v>262</v>
      </c>
      <c r="C420" s="257">
        <v>658.63</v>
      </c>
      <c r="D420" s="123">
        <f t="shared" si="12"/>
        <v>4.5212175072206096E-2</v>
      </c>
      <c r="E420" s="15"/>
      <c r="F420" s="256">
        <v>8899.4</v>
      </c>
      <c r="G420" s="123">
        <f t="shared" si="13"/>
        <v>5.7281178532180954E-2</v>
      </c>
    </row>
    <row r="421" spans="2:7" x14ac:dyDescent="0.45">
      <c r="B421" t="s">
        <v>261</v>
      </c>
      <c r="C421" s="257">
        <v>630.14</v>
      </c>
      <c r="D421" s="123">
        <f t="shared" si="12"/>
        <v>-7.3064532737088239E-2</v>
      </c>
      <c r="E421" s="15"/>
      <c r="F421" s="256">
        <v>8417.25</v>
      </c>
      <c r="G421" s="123">
        <f t="shared" si="13"/>
        <v>-2.585453640640456E-2</v>
      </c>
    </row>
    <row r="422" spans="2:7" x14ac:dyDescent="0.45">
      <c r="B422" t="s">
        <v>260</v>
      </c>
      <c r="C422" s="257">
        <v>679.81</v>
      </c>
      <c r="D422" s="123">
        <f t="shared" si="12"/>
        <v>6.9916603712096848E-3</v>
      </c>
      <c r="E422" s="15"/>
      <c r="F422" s="256">
        <v>8640.65</v>
      </c>
      <c r="G422" s="123">
        <f t="shared" si="13"/>
        <v>-1.4423241436735124E-2</v>
      </c>
    </row>
    <row r="423" spans="2:7" x14ac:dyDescent="0.45">
      <c r="B423" s="189">
        <v>43291</v>
      </c>
      <c r="C423" s="257">
        <v>675.09</v>
      </c>
      <c r="D423" s="123">
        <f t="shared" si="12"/>
        <v>-6.3207704262877362E-2</v>
      </c>
      <c r="E423" s="15"/>
      <c r="F423" s="256">
        <v>8767.1</v>
      </c>
      <c r="G423" s="123">
        <f t="shared" si="13"/>
        <v>1.6481254963796932E-2</v>
      </c>
    </row>
    <row r="424" spans="2:7" x14ac:dyDescent="0.45">
      <c r="B424" t="s">
        <v>259</v>
      </c>
      <c r="C424" s="257">
        <v>720.64</v>
      </c>
      <c r="D424" s="123">
        <f t="shared" si="12"/>
        <v>-7.4649478004572556E-3</v>
      </c>
      <c r="E424" s="15"/>
      <c r="F424" s="256">
        <v>8624.9500000000007</v>
      </c>
      <c r="G424" s="123">
        <f t="shared" si="13"/>
        <v>-5.3866827555945518E-2</v>
      </c>
    </row>
    <row r="425" spans="2:7" x14ac:dyDescent="0.45">
      <c r="B425" t="s">
        <v>258</v>
      </c>
      <c r="C425" s="257">
        <v>726.06</v>
      </c>
      <c r="D425" s="123">
        <f t="shared" si="12"/>
        <v>3.5099224452554534E-2</v>
      </c>
      <c r="E425" s="15"/>
      <c r="F425" s="256">
        <v>9116</v>
      </c>
      <c r="G425" s="123">
        <f t="shared" si="13"/>
        <v>-3.2841584841202809E-2</v>
      </c>
    </row>
    <row r="426" spans="2:7" x14ac:dyDescent="0.45">
      <c r="B426" t="s">
        <v>257</v>
      </c>
      <c r="C426" s="257">
        <v>701.44</v>
      </c>
      <c r="D426" s="123">
        <f t="shared" si="12"/>
        <v>-3.8715070783483352E-2</v>
      </c>
      <c r="E426" s="15"/>
      <c r="F426" s="256">
        <v>9425.5499999999993</v>
      </c>
      <c r="G426" s="123">
        <f t="shared" si="13"/>
        <v>-3.7497127977330291E-2</v>
      </c>
    </row>
    <row r="427" spans="2:7" x14ac:dyDescent="0.45">
      <c r="B427" s="189">
        <v>43352</v>
      </c>
      <c r="C427" s="257">
        <v>729.69</v>
      </c>
      <c r="D427" s="123">
        <f t="shared" si="12"/>
        <v>1.2349236405551078E-3</v>
      </c>
      <c r="E427" s="15"/>
      <c r="F427" s="256">
        <v>9792.75</v>
      </c>
      <c r="G427" s="123">
        <f t="shared" si="13"/>
        <v>-8.3491979909268155E-3</v>
      </c>
    </row>
    <row r="428" spans="2:7" x14ac:dyDescent="0.45">
      <c r="B428" s="189">
        <v>43140</v>
      </c>
      <c r="C428" s="257">
        <v>728.79</v>
      </c>
      <c r="D428" s="123">
        <f t="shared" si="12"/>
        <v>1.6996692761753085E-2</v>
      </c>
      <c r="E428" s="15"/>
      <c r="F428" s="256">
        <v>9875.2000000000007</v>
      </c>
      <c r="G428" s="123">
        <f t="shared" si="13"/>
        <v>-1.1689351481184884E-2</v>
      </c>
    </row>
    <row r="429" spans="2:7" x14ac:dyDescent="0.45">
      <c r="B429" t="s">
        <v>256</v>
      </c>
      <c r="C429" s="257">
        <v>716.61</v>
      </c>
      <c r="D429" s="123">
        <f t="shared" si="12"/>
        <v>4.5565963407161014E-2</v>
      </c>
      <c r="E429" s="15"/>
      <c r="F429" s="256">
        <v>9992</v>
      </c>
      <c r="G429" s="123">
        <f t="shared" si="13"/>
        <v>1.4333861209242071E-2</v>
      </c>
    </row>
    <row r="430" spans="2:7" x14ac:dyDescent="0.45">
      <c r="B430" t="s">
        <v>255</v>
      </c>
      <c r="C430" s="257">
        <v>685.38</v>
      </c>
      <c r="D430" s="123">
        <f t="shared" si="12"/>
        <v>-3.639967944662359E-2</v>
      </c>
      <c r="E430" s="15"/>
      <c r="F430" s="256">
        <v>9850.7999999999993</v>
      </c>
      <c r="G430" s="123">
        <f t="shared" si="13"/>
        <v>8.2495752389919463E-3</v>
      </c>
    </row>
    <row r="431" spans="2:7" x14ac:dyDescent="0.45">
      <c r="B431" s="189">
        <v>43442</v>
      </c>
      <c r="C431" s="257">
        <v>711.27</v>
      </c>
      <c r="D431" s="123">
        <f t="shared" si="12"/>
        <v>3.2412111359479745E-2</v>
      </c>
      <c r="E431" s="15"/>
      <c r="F431" s="256">
        <v>9770.2000000000007</v>
      </c>
      <c r="G431" s="123">
        <f t="shared" si="13"/>
        <v>4.7046362519216345E-3</v>
      </c>
    </row>
    <row r="432" spans="2:7" x14ac:dyDescent="0.45">
      <c r="B432" s="189">
        <v>43228</v>
      </c>
      <c r="C432" s="257">
        <v>688.94</v>
      </c>
      <c r="D432" s="123">
        <f t="shared" si="12"/>
        <v>1.5656327397098657E-2</v>
      </c>
      <c r="E432" s="15"/>
      <c r="F432" s="256">
        <v>9724.4500000000007</v>
      </c>
      <c r="G432" s="123">
        <f t="shared" si="13"/>
        <v>4.0007433639281942E-3</v>
      </c>
    </row>
    <row r="433" spans="2:7" x14ac:dyDescent="0.45">
      <c r="B433" t="s">
        <v>254</v>
      </c>
      <c r="C433" s="257">
        <v>678.32</v>
      </c>
      <c r="D433" s="123">
        <f t="shared" si="12"/>
        <v>-6.8084981770795139E-3</v>
      </c>
      <c r="E433" s="15"/>
      <c r="F433" s="256">
        <v>9685.7000000000007</v>
      </c>
      <c r="G433" s="123">
        <f t="shared" si="13"/>
        <v>1.1133671919449473E-2</v>
      </c>
    </row>
    <row r="434" spans="2:7" x14ac:dyDescent="0.45">
      <c r="B434" t="s">
        <v>253</v>
      </c>
      <c r="C434" s="257">
        <v>682.97</v>
      </c>
      <c r="D434" s="123">
        <f t="shared" si="12"/>
        <v>1.8810788233188047E-2</v>
      </c>
      <c r="E434" s="15"/>
      <c r="F434" s="256">
        <v>9579.0499999999993</v>
      </c>
      <c r="G434" s="123">
        <f t="shared" si="13"/>
        <v>3.1547151118338057E-2</v>
      </c>
    </row>
    <row r="435" spans="2:7" x14ac:dyDescent="0.45">
      <c r="B435" t="s">
        <v>252</v>
      </c>
      <c r="C435" s="257">
        <v>670.36</v>
      </c>
      <c r="D435" s="123">
        <f t="shared" si="12"/>
        <v>2.3294153564341391E-2</v>
      </c>
      <c r="E435" s="15"/>
      <c r="F435" s="256">
        <v>9286.1</v>
      </c>
      <c r="G435" s="123">
        <f t="shared" si="13"/>
        <v>-6.733304453393596E-3</v>
      </c>
    </row>
    <row r="436" spans="2:7" x14ac:dyDescent="0.45">
      <c r="B436" s="189">
        <v>43319</v>
      </c>
      <c r="C436" s="257">
        <v>655.1</v>
      </c>
      <c r="D436" s="123">
        <f t="shared" si="12"/>
        <v>2.5821706518845522E-2</v>
      </c>
      <c r="E436" s="15"/>
      <c r="F436" s="256">
        <v>9349.0499999999993</v>
      </c>
      <c r="G436" s="123">
        <f t="shared" si="13"/>
        <v>1.6808961879384299E-2</v>
      </c>
    </row>
    <row r="437" spans="2:7" x14ac:dyDescent="0.45">
      <c r="B437" s="189">
        <v>43107</v>
      </c>
      <c r="C437" s="257">
        <v>638.61</v>
      </c>
      <c r="D437" s="123">
        <f t="shared" si="12"/>
        <v>-1.7568419919080647E-2</v>
      </c>
      <c r="E437" s="15"/>
      <c r="F437" s="256">
        <v>9194.5</v>
      </c>
      <c r="G437" s="123">
        <f t="shared" si="13"/>
        <v>3.4979727038073616E-3</v>
      </c>
    </row>
    <row r="438" spans="2:7" x14ac:dyDescent="0.45">
      <c r="B438" t="s">
        <v>251</v>
      </c>
      <c r="C438" s="257">
        <v>650.03</v>
      </c>
      <c r="D438" s="123">
        <f t="shared" si="12"/>
        <v>4.7573769963417112E-2</v>
      </c>
      <c r="E438" s="15"/>
      <c r="F438" s="256">
        <v>9162.4500000000007</v>
      </c>
      <c r="G438" s="123">
        <f t="shared" si="13"/>
        <v>-1.4435307341891801E-2</v>
      </c>
    </row>
    <row r="439" spans="2:7" x14ac:dyDescent="0.45">
      <c r="B439" t="s">
        <v>250</v>
      </c>
      <c r="C439" s="257">
        <v>620.51</v>
      </c>
      <c r="D439" s="123">
        <f t="shared" si="12"/>
        <v>-2.6070441988950255E-2</v>
      </c>
      <c r="E439" s="15"/>
      <c r="F439" s="256">
        <v>9296.65</v>
      </c>
      <c r="G439" s="123">
        <f t="shared" si="13"/>
        <v>-5.0354784507209427E-3</v>
      </c>
    </row>
    <row r="440" spans="2:7" x14ac:dyDescent="0.45">
      <c r="B440" s="189">
        <v>43379</v>
      </c>
      <c r="C440" s="257">
        <v>637.12</v>
      </c>
      <c r="D440" s="123">
        <f t="shared" si="12"/>
        <v>2.4852413659980366E-2</v>
      </c>
      <c r="E440" s="15"/>
      <c r="F440" s="256">
        <v>9343.7000000000007</v>
      </c>
      <c r="G440" s="123">
        <f t="shared" si="13"/>
        <v>2.946464510935165E-3</v>
      </c>
    </row>
    <row r="441" spans="2:7" x14ac:dyDescent="0.45">
      <c r="B441" s="189">
        <v>43165</v>
      </c>
      <c r="C441" s="257">
        <v>621.66999999999996</v>
      </c>
      <c r="D441" s="123">
        <f t="shared" si="12"/>
        <v>3.2160053129669519E-2</v>
      </c>
      <c r="E441" s="15"/>
      <c r="F441" s="256">
        <v>9316.25</v>
      </c>
      <c r="G441" s="123">
        <f t="shared" si="13"/>
        <v>6.6071679398385097E-3</v>
      </c>
    </row>
    <row r="442" spans="2:7" x14ac:dyDescent="0.45">
      <c r="B442" t="s">
        <v>249</v>
      </c>
      <c r="C442" s="257">
        <v>602.29999999999995</v>
      </c>
      <c r="D442" s="123">
        <f t="shared" si="12"/>
        <v>-6.105610561056185E-3</v>
      </c>
      <c r="E442" s="15"/>
      <c r="F442" s="256">
        <v>9255.1</v>
      </c>
      <c r="G442" s="123">
        <f t="shared" si="13"/>
        <v>4.291659206450138E-3</v>
      </c>
    </row>
    <row r="443" spans="2:7" x14ac:dyDescent="0.45">
      <c r="B443" t="s">
        <v>248</v>
      </c>
      <c r="C443" s="257">
        <v>606</v>
      </c>
      <c r="D443" s="123">
        <f t="shared" si="12"/>
        <v>3.8115631691648888E-2</v>
      </c>
      <c r="E443" s="15"/>
      <c r="F443" s="256">
        <v>9215.5499999999993</v>
      </c>
      <c r="G443" s="123">
        <f t="shared" si="13"/>
        <v>6.895278634406754E-4</v>
      </c>
    </row>
    <row r="444" spans="2:7" x14ac:dyDescent="0.45">
      <c r="B444" t="s">
        <v>247</v>
      </c>
      <c r="C444" s="257">
        <v>583.75</v>
      </c>
      <c r="D444" s="123">
        <f t="shared" si="12"/>
        <v>2.0771105846808524E-3</v>
      </c>
      <c r="E444" s="15"/>
      <c r="F444" s="256">
        <v>9209.2000000000007</v>
      </c>
      <c r="G444" s="123">
        <f t="shared" si="13"/>
        <v>-2.1998969876863117E-2</v>
      </c>
    </row>
    <row r="445" spans="2:7" x14ac:dyDescent="0.45">
      <c r="B445" s="189">
        <v>43256</v>
      </c>
      <c r="C445" s="257">
        <v>582.54</v>
      </c>
      <c r="D445" s="123">
        <f t="shared" si="12"/>
        <v>6.5138137774936045E-3</v>
      </c>
      <c r="E445" s="15"/>
      <c r="F445" s="256">
        <v>9416.35</v>
      </c>
      <c r="G445" s="123">
        <f t="shared" si="13"/>
        <v>8.2015043229208828E-3</v>
      </c>
    </row>
    <row r="446" spans="2:7" x14ac:dyDescent="0.45">
      <c r="B446" t="s">
        <v>246</v>
      </c>
      <c r="C446" s="257">
        <v>578.77</v>
      </c>
      <c r="D446" s="123">
        <f t="shared" si="12"/>
        <v>-1.0209665834387982E-2</v>
      </c>
      <c r="E446" s="15"/>
      <c r="F446" s="256">
        <v>9339.75</v>
      </c>
      <c r="G446" s="123">
        <f t="shared" si="13"/>
        <v>-1.1002101941516185E-2</v>
      </c>
    </row>
    <row r="447" spans="2:7" x14ac:dyDescent="0.45">
      <c r="B447" t="s">
        <v>245</v>
      </c>
      <c r="C447" s="257">
        <v>584.74</v>
      </c>
      <c r="D447" s="123">
        <f t="shared" si="12"/>
        <v>5.7274556681172761E-3</v>
      </c>
      <c r="E447" s="15"/>
      <c r="F447" s="256">
        <v>9443.65</v>
      </c>
      <c r="G447" s="123">
        <f t="shared" si="13"/>
        <v>1.0269960899263353E-2</v>
      </c>
    </row>
    <row r="448" spans="2:7" x14ac:dyDescent="0.45">
      <c r="B448" t="s">
        <v>244</v>
      </c>
      <c r="C448" s="257">
        <v>581.41</v>
      </c>
      <c r="D448" s="123">
        <f t="shared" si="12"/>
        <v>5.9866770481873388E-3</v>
      </c>
      <c r="E448" s="15"/>
      <c r="F448" s="256">
        <v>9347.65</v>
      </c>
      <c r="G448" s="123">
        <f t="shared" si="13"/>
        <v>8.6321775207307549E-3</v>
      </c>
    </row>
    <row r="449" spans="2:7" x14ac:dyDescent="0.45">
      <c r="B449" s="189">
        <v>43316</v>
      </c>
      <c r="C449" s="257">
        <v>577.95000000000005</v>
      </c>
      <c r="D449" s="123">
        <f t="shared" si="12"/>
        <v>3.9441027301176268E-2</v>
      </c>
      <c r="E449" s="15"/>
      <c r="F449" s="256">
        <v>9267.65</v>
      </c>
      <c r="G449" s="123">
        <f t="shared" si="13"/>
        <v>1.042296978320012E-2</v>
      </c>
    </row>
    <row r="450" spans="2:7" x14ac:dyDescent="0.45">
      <c r="B450" s="189">
        <v>43104</v>
      </c>
      <c r="C450" s="257">
        <v>556.02</v>
      </c>
      <c r="D450" s="123">
        <f t="shared" si="12"/>
        <v>-4.244345350024159E-3</v>
      </c>
      <c r="E450" s="15"/>
      <c r="F450" s="256">
        <v>9172.0499999999993</v>
      </c>
      <c r="G450" s="123">
        <f t="shared" si="13"/>
        <v>2.9168209512909327E-2</v>
      </c>
    </row>
    <row r="451" spans="2:7" x14ac:dyDescent="0.45">
      <c r="B451" t="s">
        <v>243</v>
      </c>
      <c r="C451" s="257">
        <v>558.39</v>
      </c>
      <c r="D451" s="123">
        <f t="shared" si="12"/>
        <v>-3.0657061019008669E-2</v>
      </c>
      <c r="E451" s="15"/>
      <c r="F451" s="256">
        <v>8912.1</v>
      </c>
      <c r="G451" s="123">
        <f t="shared" si="13"/>
        <v>1.2646577583856233E-2</v>
      </c>
    </row>
    <row r="452" spans="2:7" x14ac:dyDescent="0.45">
      <c r="B452" t="s">
        <v>242</v>
      </c>
      <c r="C452" s="257">
        <v>576.04999999999995</v>
      </c>
      <c r="D452" s="123">
        <f t="shared" ref="D452:D515" si="14">IFERROR((C452/C453)-1,0)</f>
        <v>-3.6839738489743423E-3</v>
      </c>
      <c r="E452" s="15"/>
      <c r="F452" s="256">
        <v>8800.7999999999993</v>
      </c>
      <c r="G452" s="123">
        <f t="shared" ref="G452:G515" si="15">IFERROR((F452/F453)-1,0)</f>
        <v>-2.2616595127964656E-2</v>
      </c>
    </row>
    <row r="453" spans="2:7" x14ac:dyDescent="0.45">
      <c r="B453" s="189">
        <v>43407</v>
      </c>
      <c r="C453" s="257">
        <v>578.17999999999995</v>
      </c>
      <c r="D453" s="123">
        <f t="shared" si="14"/>
        <v>7.317328129899936E-3</v>
      </c>
      <c r="E453" s="15"/>
      <c r="F453" s="256">
        <v>9004.4500000000007</v>
      </c>
      <c r="G453" s="123">
        <f t="shared" si="15"/>
        <v>2.0085907593698771E-3</v>
      </c>
    </row>
    <row r="454" spans="2:7" x14ac:dyDescent="0.45">
      <c r="B454" s="189">
        <v>43193</v>
      </c>
      <c r="C454" s="257">
        <v>573.98</v>
      </c>
      <c r="D454" s="123">
        <f t="shared" si="14"/>
        <v>2.2875303403357972E-3</v>
      </c>
      <c r="E454" s="15"/>
      <c r="F454" s="256">
        <v>8986.4</v>
      </c>
      <c r="G454" s="123">
        <f t="shared" si="15"/>
        <v>-2.5901456313310645E-2</v>
      </c>
    </row>
    <row r="455" spans="2:7" x14ac:dyDescent="0.45">
      <c r="B455" t="s">
        <v>241</v>
      </c>
      <c r="C455" s="257">
        <v>572.66999999999996</v>
      </c>
      <c r="D455" s="123">
        <f t="shared" si="14"/>
        <v>4.4022730461623638E-3</v>
      </c>
      <c r="E455" s="15"/>
      <c r="F455" s="256">
        <v>9225.35</v>
      </c>
      <c r="G455" s="123">
        <f t="shared" si="15"/>
        <v>-2.8104006442303264E-3</v>
      </c>
    </row>
    <row r="456" spans="2:7" x14ac:dyDescent="0.45">
      <c r="B456" t="s">
        <v>240</v>
      </c>
      <c r="C456" s="257">
        <v>570.16</v>
      </c>
      <c r="D456" s="123">
        <f t="shared" si="14"/>
        <v>2.44726344916808E-2</v>
      </c>
      <c r="E456" s="15"/>
      <c r="F456" s="256">
        <v>9251.35</v>
      </c>
      <c r="G456" s="123">
        <f t="shared" si="15"/>
        <v>1.7053575295595813E-3</v>
      </c>
    </row>
    <row r="457" spans="2:7" x14ac:dyDescent="0.45">
      <c r="B457" s="189">
        <v>43406</v>
      </c>
      <c r="C457" s="257">
        <v>556.54</v>
      </c>
      <c r="D457" s="123">
        <f t="shared" si="14"/>
        <v>1.7031541244837411E-2</v>
      </c>
      <c r="E457" s="15"/>
      <c r="F457" s="256">
        <v>9235.6</v>
      </c>
      <c r="G457" s="123">
        <f t="shared" si="15"/>
        <v>-1.675476429830014E-3</v>
      </c>
    </row>
    <row r="458" spans="2:7" x14ac:dyDescent="0.45">
      <c r="B458" s="189">
        <v>43192</v>
      </c>
      <c r="C458" s="257">
        <v>547.22</v>
      </c>
      <c r="D458" s="123">
        <f t="shared" si="14"/>
        <v>-2.9820580100701988E-2</v>
      </c>
      <c r="E458" s="15"/>
      <c r="F458" s="256">
        <v>9251.1</v>
      </c>
      <c r="G458" s="123">
        <f t="shared" si="15"/>
        <v>-1.6865395651342152E-2</v>
      </c>
    </row>
    <row r="459" spans="2:7" x14ac:dyDescent="0.45">
      <c r="B459" t="s">
        <v>239</v>
      </c>
      <c r="C459" s="257">
        <v>564.04</v>
      </c>
      <c r="D459" s="123">
        <f t="shared" si="14"/>
        <v>-2.7349543024659417E-2</v>
      </c>
      <c r="E459" s="15"/>
      <c r="F459" s="256">
        <v>9409.7999999999993</v>
      </c>
      <c r="G459" s="123">
        <f t="shared" si="15"/>
        <v>-4.07951070336392E-2</v>
      </c>
    </row>
    <row r="460" spans="2:7" x14ac:dyDescent="0.45">
      <c r="B460" t="s">
        <v>238</v>
      </c>
      <c r="C460" s="257">
        <v>579.9</v>
      </c>
      <c r="D460" s="123">
        <f t="shared" si="14"/>
        <v>2.7936327861878274E-2</v>
      </c>
      <c r="E460" s="15"/>
      <c r="F460" s="256">
        <v>9810</v>
      </c>
      <c r="G460" s="123">
        <f t="shared" si="15"/>
        <v>8.9374787876295159E-3</v>
      </c>
    </row>
    <row r="461" spans="2:7" x14ac:dyDescent="0.45">
      <c r="B461" t="s">
        <v>237</v>
      </c>
      <c r="C461" s="257">
        <v>564.14</v>
      </c>
      <c r="D461" s="123">
        <f t="shared" si="14"/>
        <v>6.027402409457383E-2</v>
      </c>
      <c r="E461" s="15"/>
      <c r="F461" s="256">
        <v>9723.1</v>
      </c>
      <c r="G461" s="123">
        <f t="shared" si="15"/>
        <v>5.9905640855852926E-3</v>
      </c>
    </row>
    <row r="462" spans="2:7" x14ac:dyDescent="0.45">
      <c r="B462" s="189">
        <v>43282</v>
      </c>
      <c r="C462" s="257">
        <v>532.07000000000005</v>
      </c>
      <c r="D462" s="123">
        <f t="shared" si="14"/>
        <v>6.565322758316805E-2</v>
      </c>
      <c r="E462" s="15"/>
      <c r="F462" s="256">
        <v>9665.2000000000007</v>
      </c>
      <c r="G462" s="123">
        <f t="shared" si="15"/>
        <v>9.5837968548433405E-3</v>
      </c>
    </row>
    <row r="463" spans="2:7" x14ac:dyDescent="0.45">
      <c r="B463" t="s">
        <v>236</v>
      </c>
      <c r="C463" s="257">
        <v>499.29</v>
      </c>
      <c r="D463" s="123">
        <f t="shared" si="14"/>
        <v>-2.8826515726206425E-2</v>
      </c>
      <c r="E463" s="15"/>
      <c r="F463" s="256">
        <v>9573.4500000000007</v>
      </c>
      <c r="G463" s="123">
        <f t="shared" si="15"/>
        <v>8.7243760964739181E-3</v>
      </c>
    </row>
    <row r="464" spans="2:7" x14ac:dyDescent="0.45">
      <c r="B464" t="s">
        <v>235</v>
      </c>
      <c r="C464" s="257">
        <v>514.11</v>
      </c>
      <c r="D464" s="123">
        <f t="shared" si="14"/>
        <v>2.5937049026873993E-3</v>
      </c>
      <c r="E464" s="15"/>
      <c r="F464" s="256">
        <v>9490.65</v>
      </c>
      <c r="G464" s="123">
        <f t="shared" si="15"/>
        <v>6.2715368711232511E-3</v>
      </c>
    </row>
    <row r="465" spans="2:7" x14ac:dyDescent="0.45">
      <c r="B465" t="s">
        <v>234</v>
      </c>
      <c r="C465" s="257">
        <v>512.78</v>
      </c>
      <c r="D465" s="123">
        <f t="shared" si="14"/>
        <v>1.6090040819561668E-2</v>
      </c>
      <c r="E465" s="15"/>
      <c r="F465" s="256">
        <v>9431.5</v>
      </c>
      <c r="G465" s="123">
        <f t="shared" si="15"/>
        <v>2.3299970163018324E-2</v>
      </c>
    </row>
    <row r="466" spans="2:7" x14ac:dyDescent="0.45">
      <c r="B466" s="189">
        <v>43020</v>
      </c>
      <c r="C466" s="257">
        <v>504.66</v>
      </c>
      <c r="D466" s="123">
        <f t="shared" si="14"/>
        <v>2.1000242777373224E-2</v>
      </c>
      <c r="E466" s="15"/>
      <c r="F466" s="256">
        <v>9216.75</v>
      </c>
      <c r="G466" s="123">
        <f t="shared" si="15"/>
        <v>2.850754307413661E-3</v>
      </c>
    </row>
    <row r="467" spans="2:7" x14ac:dyDescent="0.45">
      <c r="B467" s="189">
        <v>42806</v>
      </c>
      <c r="C467" s="257">
        <v>494.28</v>
      </c>
      <c r="D467" s="123">
        <f t="shared" si="14"/>
        <v>4.4901065449010513E-2</v>
      </c>
      <c r="E467" s="15"/>
      <c r="F467" s="256">
        <v>9190.5499999999993</v>
      </c>
      <c r="G467" s="123">
        <f t="shared" si="15"/>
        <v>1.4364707959913403E-2</v>
      </c>
    </row>
    <row r="468" spans="2:7" x14ac:dyDescent="0.45">
      <c r="B468" t="s">
        <v>233</v>
      </c>
      <c r="C468" s="257">
        <v>473.04</v>
      </c>
      <c r="D468" s="123">
        <f t="shared" si="14"/>
        <v>-5.0273048506264018E-2</v>
      </c>
      <c r="E468" s="15"/>
      <c r="F468" s="256">
        <v>9060.4</v>
      </c>
      <c r="G468" s="123">
        <f t="shared" si="15"/>
        <v>-2.0078844479534452E-2</v>
      </c>
    </row>
    <row r="469" spans="2:7" x14ac:dyDescent="0.45">
      <c r="B469" t="s">
        <v>232</v>
      </c>
      <c r="C469" s="257">
        <v>498.08</v>
      </c>
      <c r="D469" s="123">
        <f t="shared" si="14"/>
        <v>3.9767864225622729E-2</v>
      </c>
      <c r="E469" s="15"/>
      <c r="F469" s="256">
        <v>9246.0499999999993</v>
      </c>
      <c r="G469" s="123">
        <f t="shared" si="15"/>
        <v>1.1923914589968332E-2</v>
      </c>
    </row>
    <row r="470" spans="2:7" x14ac:dyDescent="0.45">
      <c r="B470" s="189">
        <v>43080</v>
      </c>
      <c r="C470" s="257">
        <v>479.03</v>
      </c>
      <c r="D470" s="123">
        <f t="shared" si="14"/>
        <v>9.2491151188269782E-3</v>
      </c>
      <c r="E470" s="15"/>
      <c r="F470" s="256">
        <v>9137.1</v>
      </c>
      <c r="G470" s="123">
        <f t="shared" si="15"/>
        <v>-1.9497648812937252E-3</v>
      </c>
    </row>
    <row r="471" spans="2:7" x14ac:dyDescent="0.45">
      <c r="B471" s="189">
        <v>42866</v>
      </c>
      <c r="C471" s="257">
        <v>474.64</v>
      </c>
      <c r="D471" s="123">
        <f t="shared" si="14"/>
        <v>3.8190647009930467E-2</v>
      </c>
      <c r="E471" s="15"/>
      <c r="F471" s="256">
        <v>9154.9500000000007</v>
      </c>
      <c r="G471" s="123">
        <f t="shared" si="15"/>
        <v>-1.1413885634377618E-2</v>
      </c>
    </row>
    <row r="472" spans="2:7" x14ac:dyDescent="0.45">
      <c r="B472" t="s">
        <v>231</v>
      </c>
      <c r="C472" s="257">
        <v>457.18</v>
      </c>
      <c r="D472" s="123">
        <f t="shared" si="14"/>
        <v>-2.081816234739764E-2</v>
      </c>
      <c r="E472" s="15"/>
      <c r="F472" s="256">
        <v>9260.65</v>
      </c>
      <c r="G472" s="123">
        <f t="shared" si="15"/>
        <v>1.7156445474465709E-2</v>
      </c>
    </row>
    <row r="473" spans="2:7" x14ac:dyDescent="0.45">
      <c r="B473" t="s">
        <v>230</v>
      </c>
      <c r="C473" s="257">
        <v>466.9</v>
      </c>
      <c r="D473" s="123">
        <f t="shared" si="14"/>
        <v>2.0925808497146425E-2</v>
      </c>
      <c r="E473" s="15"/>
      <c r="F473" s="256">
        <v>9104.4500000000007</v>
      </c>
      <c r="G473" s="123">
        <f t="shared" si="15"/>
        <v>1.8662623844075465E-2</v>
      </c>
    </row>
    <row r="474" spans="2:7" x14ac:dyDescent="0.45">
      <c r="B474" t="s">
        <v>229</v>
      </c>
      <c r="C474" s="257">
        <v>457.33</v>
      </c>
      <c r="D474" s="123">
        <f t="shared" si="14"/>
        <v>-3.3777894002789965E-3</v>
      </c>
      <c r="E474" s="15"/>
      <c r="F474" s="256">
        <v>8937.65</v>
      </c>
      <c r="G474" s="123">
        <f t="shared" si="15"/>
        <v>5.0351340464382943E-5</v>
      </c>
    </row>
    <row r="475" spans="2:7" x14ac:dyDescent="0.45">
      <c r="B475" s="189">
        <v>42957</v>
      </c>
      <c r="C475" s="257">
        <v>458.88</v>
      </c>
      <c r="D475" s="123">
        <f t="shared" si="14"/>
        <v>1.0815692666916288E-2</v>
      </c>
      <c r="E475" s="15"/>
      <c r="F475" s="256">
        <v>8937.2000000000007</v>
      </c>
      <c r="G475" s="123">
        <f t="shared" si="15"/>
        <v>1.7047135671529823E-2</v>
      </c>
    </row>
    <row r="476" spans="2:7" x14ac:dyDescent="0.45">
      <c r="B476" s="189">
        <v>42745</v>
      </c>
      <c r="C476" s="257">
        <v>453.97</v>
      </c>
      <c r="D476" s="123">
        <f t="shared" si="14"/>
        <v>2.2501013559169447E-2</v>
      </c>
      <c r="E476" s="15"/>
      <c r="F476" s="256">
        <v>8787.4</v>
      </c>
      <c r="G476" s="123">
        <f t="shared" si="15"/>
        <v>2.1790697674418658E-2</v>
      </c>
    </row>
    <row r="477" spans="2:7" x14ac:dyDescent="0.45">
      <c r="B477" t="s">
        <v>228</v>
      </c>
      <c r="C477" s="257">
        <v>443.98</v>
      </c>
      <c r="D477" s="123">
        <f t="shared" si="14"/>
        <v>1.7825311942960553E-3</v>
      </c>
      <c r="E477" s="15"/>
      <c r="F477" s="256">
        <v>8600</v>
      </c>
      <c r="G477" s="123">
        <f t="shared" si="15"/>
        <v>-1.5793087663080851E-2</v>
      </c>
    </row>
    <row r="478" spans="2:7" x14ac:dyDescent="0.45">
      <c r="B478" t="s">
        <v>227</v>
      </c>
      <c r="C478" s="257">
        <v>443.19</v>
      </c>
      <c r="D478" s="123">
        <f t="shared" si="14"/>
        <v>-1.0957375585806783E-2</v>
      </c>
      <c r="E478" s="15"/>
      <c r="F478" s="256">
        <v>8738</v>
      </c>
      <c r="G478" s="123">
        <f t="shared" si="15"/>
        <v>-1.6832440703902107E-2</v>
      </c>
    </row>
    <row r="479" spans="2:7" x14ac:dyDescent="0.45">
      <c r="B479" s="189">
        <v>43017</v>
      </c>
      <c r="C479" s="257">
        <v>448.1</v>
      </c>
      <c r="D479" s="123">
        <f t="shared" si="14"/>
        <v>2.7092692766113702E-2</v>
      </c>
      <c r="E479" s="15"/>
      <c r="F479" s="256">
        <v>8887.6</v>
      </c>
      <c r="G479" s="123">
        <f t="shared" si="15"/>
        <v>1.5731518465819772E-2</v>
      </c>
    </row>
    <row r="480" spans="2:7" x14ac:dyDescent="0.45">
      <c r="B480" s="189">
        <v>42803</v>
      </c>
      <c r="C480" s="257">
        <v>436.28</v>
      </c>
      <c r="D480" s="123">
        <f t="shared" si="14"/>
        <v>-4.4021298507789797E-2</v>
      </c>
      <c r="E480" s="15"/>
      <c r="F480" s="256">
        <v>8749.9500000000007</v>
      </c>
      <c r="G480" s="123">
        <f t="shared" si="15"/>
        <v>-6.0535107506920482E-4</v>
      </c>
    </row>
    <row r="481" spans="2:7" x14ac:dyDescent="0.45">
      <c r="B481" t="s">
        <v>226</v>
      </c>
      <c r="C481" s="257">
        <v>456.37</v>
      </c>
      <c r="D481" s="123">
        <f t="shared" si="14"/>
        <v>8.5524861878452096E-3</v>
      </c>
      <c r="E481" s="15"/>
      <c r="F481" s="256">
        <v>8755.25</v>
      </c>
      <c r="G481" s="123">
        <f t="shared" si="15"/>
        <v>1.7372105859454479E-2</v>
      </c>
    </row>
    <row r="482" spans="2:7" x14ac:dyDescent="0.45">
      <c r="B482" t="s">
        <v>225</v>
      </c>
      <c r="C482" s="257">
        <v>452.5</v>
      </c>
      <c r="D482" s="123">
        <f t="shared" si="14"/>
        <v>-1.2008733624454093E-2</v>
      </c>
      <c r="E482" s="15"/>
      <c r="F482" s="256">
        <v>8605.75</v>
      </c>
      <c r="G482" s="123">
        <f t="shared" si="15"/>
        <v>1.3381039648601156E-3</v>
      </c>
    </row>
    <row r="483" spans="2:7" x14ac:dyDescent="0.45">
      <c r="B483" t="s">
        <v>224</v>
      </c>
      <c r="C483" s="257">
        <v>458</v>
      </c>
      <c r="D483" s="123">
        <f t="shared" si="14"/>
        <v>-6.5267970121229424E-2</v>
      </c>
      <c r="E483" s="15"/>
      <c r="F483" s="256">
        <v>8594.25</v>
      </c>
      <c r="G483" s="123">
        <f t="shared" si="15"/>
        <v>1.9762212703347215E-2</v>
      </c>
    </row>
    <row r="484" spans="2:7" x14ac:dyDescent="0.45">
      <c r="B484" s="189">
        <v>42894</v>
      </c>
      <c r="C484" s="257">
        <v>489.98</v>
      </c>
      <c r="D484" s="123">
        <f t="shared" si="14"/>
        <v>4.0162288430802828E-3</v>
      </c>
      <c r="E484" s="15"/>
      <c r="F484" s="256">
        <v>8427.7000000000007</v>
      </c>
      <c r="G484" s="123">
        <f t="shared" si="15"/>
        <v>-3.9709669332968711E-2</v>
      </c>
    </row>
    <row r="485" spans="2:7" x14ac:dyDescent="0.45">
      <c r="B485" t="s">
        <v>223</v>
      </c>
      <c r="C485" s="257">
        <v>488.02</v>
      </c>
      <c r="D485" s="123">
        <f t="shared" si="14"/>
        <v>-1.3622766593904156E-2</v>
      </c>
      <c r="E485" s="15"/>
      <c r="F485" s="256">
        <v>8776.2000000000007</v>
      </c>
      <c r="G485" s="123">
        <f t="shared" si="15"/>
        <v>3.2866721158737455E-3</v>
      </c>
    </row>
    <row r="486" spans="2:7" x14ac:dyDescent="0.45">
      <c r="B486" t="s">
        <v>222</v>
      </c>
      <c r="C486" s="257">
        <v>494.76</v>
      </c>
      <c r="D486" s="123">
        <f t="shared" si="14"/>
        <v>1.7584994138335253E-2</v>
      </c>
      <c r="E486" s="15"/>
      <c r="F486" s="256">
        <v>8747.4500000000007</v>
      </c>
      <c r="G486" s="123">
        <f t="shared" si="15"/>
        <v>8.962196141757417E-3</v>
      </c>
    </row>
    <row r="487" spans="2:7" x14ac:dyDescent="0.45">
      <c r="B487" t="s">
        <v>221</v>
      </c>
      <c r="C487" s="257">
        <v>486.21</v>
      </c>
      <c r="D487" s="123">
        <f t="shared" si="14"/>
        <v>8.2951411210883119E-3</v>
      </c>
      <c r="E487" s="15"/>
      <c r="F487" s="256">
        <v>8669.75</v>
      </c>
      <c r="G487" s="123">
        <f t="shared" si="15"/>
        <v>3.3619961345723315E-3</v>
      </c>
    </row>
    <row r="488" spans="2:7" x14ac:dyDescent="0.45">
      <c r="B488" s="189">
        <v>42985</v>
      </c>
      <c r="C488" s="257">
        <v>482.21</v>
      </c>
      <c r="D488" s="123">
        <f t="shared" si="14"/>
        <v>3.9178501389996345E-2</v>
      </c>
      <c r="E488" s="15"/>
      <c r="F488" s="256">
        <v>8640.7000000000007</v>
      </c>
      <c r="G488" s="123">
        <f t="shared" si="15"/>
        <v>1.9016563574288492E-2</v>
      </c>
    </row>
    <row r="489" spans="2:7" x14ac:dyDescent="0.45">
      <c r="B489" s="189">
        <v>42773</v>
      </c>
      <c r="C489" s="257">
        <v>464.03</v>
      </c>
      <c r="D489" s="123">
        <f t="shared" si="14"/>
        <v>-1.7237292883165445E-4</v>
      </c>
      <c r="E489" s="15"/>
      <c r="F489" s="256">
        <v>8479.4500000000007</v>
      </c>
      <c r="G489" s="123">
        <f t="shared" si="15"/>
        <v>1.7745691103749683E-2</v>
      </c>
    </row>
    <row r="490" spans="2:7" x14ac:dyDescent="0.45">
      <c r="B490" t="s">
        <v>220</v>
      </c>
      <c r="C490" s="257">
        <v>464.11</v>
      </c>
      <c r="D490" s="123">
        <f t="shared" si="14"/>
        <v>-8.1636142158014735E-3</v>
      </c>
      <c r="E490" s="15"/>
      <c r="F490" s="256">
        <v>8331.6</v>
      </c>
      <c r="G490" s="123">
        <f t="shared" si="15"/>
        <v>-2.812653349451244E-3</v>
      </c>
    </row>
    <row r="491" spans="2:7" x14ac:dyDescent="0.45">
      <c r="B491" t="s">
        <v>219</v>
      </c>
      <c r="C491" s="257">
        <v>467.93</v>
      </c>
      <c r="D491" s="123">
        <f t="shared" si="14"/>
        <v>3.1944087128032983E-3</v>
      </c>
      <c r="E491" s="15"/>
      <c r="F491" s="256">
        <v>8355.1</v>
      </c>
      <c r="G491" s="123">
        <f t="shared" si="15"/>
        <v>-6.6992016834196422E-3</v>
      </c>
    </row>
    <row r="492" spans="2:7" x14ac:dyDescent="0.45">
      <c r="B492" s="189">
        <v>43045</v>
      </c>
      <c r="C492" s="257">
        <v>466.44</v>
      </c>
      <c r="D492" s="123">
        <f t="shared" si="14"/>
        <v>-8.7976539589442737E-3</v>
      </c>
      <c r="E492" s="15"/>
      <c r="F492" s="256">
        <v>8411.4500000000007</v>
      </c>
      <c r="G492" s="123">
        <f t="shared" si="15"/>
        <v>-4.8859838514092591E-3</v>
      </c>
    </row>
    <row r="493" spans="2:7" x14ac:dyDescent="0.45">
      <c r="B493" s="189">
        <v>42831</v>
      </c>
      <c r="C493" s="257">
        <v>470.58</v>
      </c>
      <c r="D493" s="123">
        <f t="shared" si="14"/>
        <v>-2.1500457456541722E-2</v>
      </c>
      <c r="E493" s="15"/>
      <c r="F493" s="256">
        <v>8452.75</v>
      </c>
      <c r="G493" s="123">
        <f t="shared" si="15"/>
        <v>5.4957146510756782E-3</v>
      </c>
    </row>
    <row r="494" spans="2:7" x14ac:dyDescent="0.45">
      <c r="B494" t="s">
        <v>218</v>
      </c>
      <c r="C494" s="257">
        <v>480.92</v>
      </c>
      <c r="D494" s="123">
        <f t="shared" si="14"/>
        <v>-2.6359476859537545E-2</v>
      </c>
      <c r="E494" s="15"/>
      <c r="F494" s="256">
        <v>8406.5499999999993</v>
      </c>
      <c r="G494" s="123">
        <f t="shared" si="15"/>
        <v>8.9655958760657128E-3</v>
      </c>
    </row>
    <row r="495" spans="2:7" x14ac:dyDescent="0.45">
      <c r="B495" t="s">
        <v>217</v>
      </c>
      <c r="C495" s="257">
        <v>493.94</v>
      </c>
      <c r="D495" s="123">
        <f t="shared" si="14"/>
        <v>3.9392281469635027E-2</v>
      </c>
      <c r="E495" s="15"/>
      <c r="F495" s="256">
        <v>8331.85</v>
      </c>
      <c r="G495" s="123">
        <f t="shared" si="15"/>
        <v>8.9184083698625738E-3</v>
      </c>
    </row>
    <row r="496" spans="2:7" x14ac:dyDescent="0.45">
      <c r="B496" t="s">
        <v>216</v>
      </c>
      <c r="C496" s="257">
        <v>475.22</v>
      </c>
      <c r="D496" s="123">
        <f t="shared" si="14"/>
        <v>-6.5225571769033097E-3</v>
      </c>
      <c r="E496" s="15"/>
      <c r="F496" s="256">
        <v>8258.2000000000007</v>
      </c>
      <c r="G496" s="123">
        <f t="shared" si="15"/>
        <v>-4.9402352033931507E-3</v>
      </c>
    </row>
    <row r="497" spans="2:7" x14ac:dyDescent="0.45">
      <c r="B497" s="189">
        <v>42921</v>
      </c>
      <c r="C497" s="257">
        <v>478.34</v>
      </c>
      <c r="D497" s="123">
        <f t="shared" si="14"/>
        <v>3.5143908244968491E-2</v>
      </c>
      <c r="E497" s="15"/>
      <c r="F497" s="256">
        <v>8299.2000000000007</v>
      </c>
      <c r="G497" s="123">
        <f t="shared" si="15"/>
        <v>1.2931376437921527E-2</v>
      </c>
    </row>
    <row r="498" spans="2:7" x14ac:dyDescent="0.45">
      <c r="B498" t="s">
        <v>215</v>
      </c>
      <c r="C498" s="257">
        <v>462.1</v>
      </c>
      <c r="D498" s="123">
        <f t="shared" si="14"/>
        <v>1.3666176760918747E-2</v>
      </c>
      <c r="E498" s="15"/>
      <c r="F498" s="256">
        <v>8193.25</v>
      </c>
      <c r="G498" s="123">
        <f t="shared" si="15"/>
        <v>-2.5626042389490511E-3</v>
      </c>
    </row>
    <row r="499" spans="2:7" x14ac:dyDescent="0.45">
      <c r="B499" t="s">
        <v>214</v>
      </c>
      <c r="C499" s="257">
        <v>455.87</v>
      </c>
      <c r="D499" s="123">
        <f t="shared" si="14"/>
        <v>-5.150252056827398E-3</v>
      </c>
      <c r="E499" s="15"/>
      <c r="F499" s="256">
        <v>8214.2999999999993</v>
      </c>
      <c r="G499" s="123">
        <f t="shared" si="15"/>
        <v>1.9434826315201548E-2</v>
      </c>
    </row>
    <row r="500" spans="2:7" x14ac:dyDescent="0.45">
      <c r="B500" t="s">
        <v>213</v>
      </c>
      <c r="C500" s="257">
        <v>458.23</v>
      </c>
      <c r="D500" s="123">
        <f t="shared" si="14"/>
        <v>-8.2675035169353928E-3</v>
      </c>
      <c r="E500" s="15"/>
      <c r="F500" s="256">
        <v>8057.7</v>
      </c>
      <c r="G500" s="123">
        <f t="shared" si="15"/>
        <v>1.5910701189574272E-3</v>
      </c>
    </row>
    <row r="501" spans="2:7" x14ac:dyDescent="0.45">
      <c r="B501" s="189">
        <v>42982</v>
      </c>
      <c r="C501" s="257">
        <v>462.05</v>
      </c>
      <c r="D501" s="123">
        <f t="shared" si="14"/>
        <v>-5.1095640030394462E-2</v>
      </c>
      <c r="E501" s="15"/>
      <c r="F501" s="256">
        <v>8044.9</v>
      </c>
      <c r="G501" s="123">
        <f t="shared" si="15"/>
        <v>-5.5932930202007292E-5</v>
      </c>
    </row>
    <row r="502" spans="2:7" x14ac:dyDescent="0.45">
      <c r="B502" s="189">
        <v>42770</v>
      </c>
      <c r="C502" s="257">
        <v>486.93</v>
      </c>
      <c r="D502" s="123">
        <f t="shared" si="14"/>
        <v>-3.9813061997160393E-2</v>
      </c>
      <c r="E502" s="15"/>
      <c r="F502" s="256">
        <v>8045.35</v>
      </c>
      <c r="G502" s="123">
        <f t="shared" si="15"/>
        <v>6.2913927992946928E-3</v>
      </c>
    </row>
    <row r="503" spans="2:7" x14ac:dyDescent="0.45">
      <c r="B503" t="s">
        <v>212</v>
      </c>
      <c r="C503" s="257">
        <v>507.12</v>
      </c>
      <c r="D503" s="123">
        <f t="shared" si="14"/>
        <v>-8.8537085898563461E-3</v>
      </c>
      <c r="E503" s="15"/>
      <c r="F503" s="256">
        <v>7995.05</v>
      </c>
      <c r="G503" s="123">
        <f t="shared" si="15"/>
        <v>1.135314282822919E-2</v>
      </c>
    </row>
    <row r="504" spans="2:7" x14ac:dyDescent="0.45">
      <c r="B504" t="s">
        <v>211</v>
      </c>
      <c r="C504" s="257">
        <v>511.65</v>
      </c>
      <c r="D504" s="123">
        <f t="shared" si="14"/>
        <v>-8.5647295909471177E-3</v>
      </c>
      <c r="E504" s="15"/>
      <c r="F504" s="256">
        <v>7905.3</v>
      </c>
      <c r="G504" s="123">
        <f t="shared" si="15"/>
        <v>-3.5043047484589751E-3</v>
      </c>
    </row>
    <row r="505" spans="2:7" x14ac:dyDescent="0.45">
      <c r="B505" s="189">
        <v>43072</v>
      </c>
      <c r="C505" s="257">
        <v>516.07000000000005</v>
      </c>
      <c r="D505" s="123">
        <f t="shared" si="14"/>
        <v>1.8050185433599042E-2</v>
      </c>
      <c r="E505" s="15"/>
      <c r="F505" s="256">
        <v>7933.1</v>
      </c>
      <c r="G505" s="123">
        <f t="shared" si="15"/>
        <v>2.8816350879923291E-2</v>
      </c>
    </row>
    <row r="506" spans="2:7" x14ac:dyDescent="0.45">
      <c r="B506" s="189">
        <v>42858</v>
      </c>
      <c r="C506" s="257">
        <v>506.92</v>
      </c>
      <c r="D506" s="123">
        <f t="shared" si="14"/>
        <v>-9.0702947845804349E-3</v>
      </c>
      <c r="E506" s="15"/>
      <c r="F506" s="256">
        <v>7710.9</v>
      </c>
      <c r="G506" s="123">
        <f t="shared" si="15"/>
        <v>1.9100335230373133E-3</v>
      </c>
    </row>
    <row r="507" spans="2:7" x14ac:dyDescent="0.45">
      <c r="B507" t="s">
        <v>210</v>
      </c>
      <c r="C507" s="257">
        <v>511.56</v>
      </c>
      <c r="D507" s="123">
        <f t="shared" si="14"/>
        <v>2.2159170379842941E-2</v>
      </c>
      <c r="E507" s="15"/>
      <c r="F507" s="256">
        <v>7696.2</v>
      </c>
      <c r="G507" s="123">
        <f t="shared" si="15"/>
        <v>-4.3274921891676144E-3</v>
      </c>
    </row>
    <row r="508" spans="2:7" x14ac:dyDescent="0.45">
      <c r="B508" t="s">
        <v>209</v>
      </c>
      <c r="C508" s="257">
        <v>500.47</v>
      </c>
      <c r="D508" s="123">
        <f t="shared" si="14"/>
        <v>8.7477072541470857E-3</v>
      </c>
      <c r="E508" s="15"/>
      <c r="F508" s="256">
        <v>7729.65</v>
      </c>
      <c r="G508" s="123">
        <f t="shared" si="15"/>
        <v>1.1999214454045504E-2</v>
      </c>
    </row>
    <row r="509" spans="2:7" x14ac:dyDescent="0.45">
      <c r="B509" s="189">
        <v>43071</v>
      </c>
      <c r="C509" s="257">
        <v>496.13</v>
      </c>
      <c r="D509" s="123">
        <f t="shared" si="14"/>
        <v>3.2851046112209792E-2</v>
      </c>
      <c r="E509" s="15"/>
      <c r="F509" s="256">
        <v>7638</v>
      </c>
      <c r="G509" s="123">
        <f t="shared" si="15"/>
        <v>8.8452088452095623E-4</v>
      </c>
    </row>
    <row r="510" spans="2:7" x14ac:dyDescent="0.45">
      <c r="B510" s="189">
        <v>42857</v>
      </c>
      <c r="C510" s="257">
        <v>480.35</v>
      </c>
      <c r="D510" s="123">
        <f t="shared" si="14"/>
        <v>3.4389939273870684E-2</v>
      </c>
      <c r="E510" s="15"/>
      <c r="F510" s="256">
        <v>7631.25</v>
      </c>
      <c r="G510" s="123">
        <f t="shared" si="15"/>
        <v>8.10446637340001E-3</v>
      </c>
    </row>
    <row r="511" spans="2:7" x14ac:dyDescent="0.45">
      <c r="B511" t="s">
        <v>208</v>
      </c>
      <c r="C511" s="257">
        <v>464.38</v>
      </c>
      <c r="D511" s="123">
        <f t="shared" si="14"/>
        <v>-6.4187598955881553E-3</v>
      </c>
      <c r="E511" s="15"/>
      <c r="F511" s="256">
        <v>7569.9</v>
      </c>
      <c r="G511" s="123">
        <f t="shared" si="15"/>
        <v>1.5392044425665441E-2</v>
      </c>
    </row>
    <row r="512" spans="2:7" x14ac:dyDescent="0.45">
      <c r="B512" t="s">
        <v>207</v>
      </c>
      <c r="C512" s="257">
        <v>467.38</v>
      </c>
      <c r="D512" s="123">
        <f t="shared" si="14"/>
        <v>-6.9056371247051551E-3</v>
      </c>
      <c r="E512" s="15"/>
      <c r="F512" s="256">
        <v>7455.15</v>
      </c>
      <c r="G512" s="123">
        <f t="shared" si="15"/>
        <v>3.5042171392870802E-2</v>
      </c>
    </row>
    <row r="513" spans="2:7" x14ac:dyDescent="0.45">
      <c r="B513" t="s">
        <v>206</v>
      </c>
      <c r="C513" s="257">
        <v>470.63</v>
      </c>
      <c r="D513" s="123">
        <f t="shared" si="14"/>
        <v>-2.7764579502964404E-2</v>
      </c>
      <c r="E513" s="15"/>
      <c r="F513" s="256">
        <v>7202.75</v>
      </c>
      <c r="G513" s="123">
        <f t="shared" si="15"/>
        <v>-3.5347177067913682E-3</v>
      </c>
    </row>
    <row r="514" spans="2:7" x14ac:dyDescent="0.45">
      <c r="B514" s="189">
        <v>42948</v>
      </c>
      <c r="C514" s="257">
        <v>484.07</v>
      </c>
      <c r="D514" s="123">
        <f t="shared" si="14"/>
        <v>3.6491053471834345E-3</v>
      </c>
      <c r="E514" s="15"/>
      <c r="F514" s="256">
        <v>7228.3</v>
      </c>
      <c r="G514" s="123">
        <f t="shared" si="15"/>
        <v>2.0499498807019512E-2</v>
      </c>
    </row>
    <row r="515" spans="2:7" x14ac:dyDescent="0.45">
      <c r="B515" s="189">
        <v>42736</v>
      </c>
      <c r="C515" s="257">
        <v>482.31</v>
      </c>
      <c r="D515" s="123">
        <f t="shared" si="14"/>
        <v>-3.7958271831491586E-2</v>
      </c>
      <c r="E515" s="15"/>
      <c r="F515" s="256">
        <v>7083.1</v>
      </c>
      <c r="G515" s="123">
        <f t="shared" si="15"/>
        <v>1.4363865498081108E-2</v>
      </c>
    </row>
    <row r="516" spans="2:7" x14ac:dyDescent="0.45">
      <c r="B516" t="s">
        <v>205</v>
      </c>
      <c r="C516" s="257">
        <v>501.34</v>
      </c>
      <c r="D516" s="123">
        <f t="shared" ref="D516:D524" si="16">IFERROR((C516/C517)-1,0)</f>
        <v>2.2412562455388807E-2</v>
      </c>
      <c r="E516" s="15"/>
      <c r="F516" s="256">
        <v>6982.8</v>
      </c>
      <c r="G516" s="123">
        <f t="shared" ref="G516:G524" si="17">IFERROR((F516/F517)-1,0)</f>
        <v>2.463719203509962E-2</v>
      </c>
    </row>
    <row r="517" spans="2:7" x14ac:dyDescent="0.45">
      <c r="B517" t="s">
        <v>204</v>
      </c>
      <c r="C517" s="257">
        <v>490.35</v>
      </c>
      <c r="D517" s="123">
        <f t="shared" si="16"/>
        <v>-1.6605499067444796E-2</v>
      </c>
      <c r="E517" s="15"/>
      <c r="F517" s="256">
        <v>6814.9</v>
      </c>
      <c r="G517" s="123">
        <f t="shared" si="17"/>
        <v>-2.316347738837532E-2</v>
      </c>
    </row>
    <row r="518" spans="2:7" x14ac:dyDescent="0.45">
      <c r="B518" s="189">
        <v>42686</v>
      </c>
      <c r="C518" s="257">
        <v>498.63</v>
      </c>
      <c r="D518" s="123">
        <f t="shared" si="16"/>
        <v>1.597424560402616E-2</v>
      </c>
      <c r="E518" s="15"/>
      <c r="F518" s="256">
        <v>6976.5</v>
      </c>
      <c r="G518" s="123">
        <f t="shared" si="17"/>
        <v>-1.7553494856466845E-2</v>
      </c>
    </row>
    <row r="519" spans="2:7" x14ac:dyDescent="0.45">
      <c r="B519" s="189">
        <v>42472</v>
      </c>
      <c r="C519" s="257">
        <v>490.79</v>
      </c>
      <c r="D519" s="123">
        <f t="shared" si="16"/>
        <v>2.574874077789624E-2</v>
      </c>
      <c r="E519" s="15"/>
      <c r="F519" s="256">
        <v>7101.15</v>
      </c>
      <c r="G519" s="123">
        <f t="shared" si="17"/>
        <v>2.2145293855166726E-2</v>
      </c>
    </row>
    <row r="520" spans="2:7" x14ac:dyDescent="0.45">
      <c r="B520" t="s">
        <v>203</v>
      </c>
      <c r="C520" s="257">
        <v>478.47</v>
      </c>
      <c r="D520" s="123">
        <f t="shared" si="16"/>
        <v>-1.3301163078445866E-2</v>
      </c>
      <c r="E520" s="15"/>
      <c r="F520" s="256">
        <v>6947.3</v>
      </c>
      <c r="G520" s="123">
        <f t="shared" si="17"/>
        <v>-1.9322630463670665E-3</v>
      </c>
    </row>
    <row r="521" spans="2:7" x14ac:dyDescent="0.45">
      <c r="B521" t="s">
        <v>202</v>
      </c>
      <c r="C521" s="257">
        <v>484.92</v>
      </c>
      <c r="D521" s="123">
        <f t="shared" si="16"/>
        <v>6.2512324985209977E-2</v>
      </c>
      <c r="E521" s="15"/>
      <c r="F521" s="256">
        <v>6960.75</v>
      </c>
      <c r="G521" s="123">
        <f t="shared" si="17"/>
        <v>7.5631468480856778E-3</v>
      </c>
    </row>
    <row r="522" spans="2:7" x14ac:dyDescent="0.45">
      <c r="B522" t="s">
        <v>201</v>
      </c>
      <c r="C522" s="257">
        <v>456.39</v>
      </c>
      <c r="D522" s="123">
        <f t="shared" si="16"/>
        <v>-1.6843118383061961E-3</v>
      </c>
      <c r="E522" s="15"/>
      <c r="F522" s="256">
        <v>6908.5</v>
      </c>
      <c r="G522" s="123">
        <f t="shared" si="17"/>
        <v>-3.0590051217287639E-2</v>
      </c>
    </row>
    <row r="523" spans="2:7" x14ac:dyDescent="0.45">
      <c r="B523" s="189">
        <v>42532</v>
      </c>
      <c r="C523" s="257">
        <v>457.16</v>
      </c>
      <c r="D523" s="123">
        <f t="shared" si="16"/>
        <v>-5.092486869148205E-2</v>
      </c>
      <c r="E523" s="15"/>
      <c r="F523" s="256">
        <v>7126.5</v>
      </c>
      <c r="G523" s="123">
        <f t="shared" si="17"/>
        <v>-2.0291170041654705E-2</v>
      </c>
    </row>
    <row r="524" spans="2:7" x14ac:dyDescent="0.45">
      <c r="B524" t="s">
        <v>200</v>
      </c>
      <c r="C524" s="257">
        <v>481.69</v>
      </c>
      <c r="D524" s="123">
        <f t="shared" si="16"/>
        <v>-2.6574246221000686E-2</v>
      </c>
      <c r="E524" s="15"/>
      <c r="F524" s="256">
        <v>7274.1</v>
      </c>
      <c r="G524" s="123">
        <f t="shared" si="17"/>
        <v>-2.9356427055950651E-2</v>
      </c>
    </row>
    <row r="525" spans="2:7" x14ac:dyDescent="0.45">
      <c r="B525" t="s">
        <v>199</v>
      </c>
      <c r="C525" s="257">
        <v>494.84</v>
      </c>
      <c r="D525" s="123">
        <v>0</v>
      </c>
      <c r="E525" s="15"/>
      <c r="F525" s="256">
        <v>7494.1</v>
      </c>
      <c r="G525" s="123">
        <v>0</v>
      </c>
    </row>
  </sheetData>
  <mergeCells count="4">
    <mergeCell ref="B2:D2"/>
    <mergeCell ref="F2:G2"/>
    <mergeCell ref="B1:L1"/>
    <mergeCell ref="I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0D0D-14BE-4297-84A1-FF932895393A}">
  <dimension ref="A1:W84"/>
  <sheetViews>
    <sheetView showGridLines="0" tabSelected="1" zoomScale="80" zoomScaleNormal="80" workbookViewId="0">
      <pane xSplit="2" ySplit="2" topLeftCell="C64" activePane="bottomRight" state="frozen"/>
      <selection pane="topRight" activeCell="C1" sqref="C1"/>
      <selection pane="bottomLeft" activeCell="A3" sqref="A3"/>
      <selection pane="bottomRight" activeCell="E88" sqref="E88"/>
    </sheetView>
  </sheetViews>
  <sheetFormatPr defaultRowHeight="14.25" x14ac:dyDescent="0.45"/>
  <cols>
    <col min="1" max="1" width="1.796875" customWidth="1"/>
    <col min="2" max="2" width="22.06640625" style="12" bestFit="1" customWidth="1"/>
    <col min="3" max="12" width="9.59765625" bestFit="1" customWidth="1"/>
    <col min="13" max="13" width="13.6640625" bestFit="1" customWidth="1"/>
    <col min="14" max="14" width="10.265625" bestFit="1" customWidth="1"/>
    <col min="15" max="17" width="11.796875" bestFit="1" customWidth="1"/>
    <col min="19" max="19" width="9.59765625" bestFit="1" customWidth="1"/>
  </cols>
  <sheetData>
    <row r="1" spans="1:23" ht="15.75" x14ac:dyDescent="0.5">
      <c r="A1" s="12" t="s">
        <v>78</v>
      </c>
      <c r="B1" s="261" t="str">
        <f>"Calculation for "&amp;'Data Sheet'!B1</f>
        <v>Calculation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1:23" ht="14.65" thickBot="1" x14ac:dyDescent="0.5">
      <c r="B2" s="21" t="str">
        <f>'Data Sheet'!A16</f>
        <v>Report Date</v>
      </c>
      <c r="C2" s="22">
        <f>'Data Sheet'!B16</f>
        <v>42825</v>
      </c>
      <c r="D2" s="22">
        <f>'Data Sheet'!C16</f>
        <v>43190</v>
      </c>
      <c r="E2" s="22">
        <f>'Data Sheet'!D16</f>
        <v>43555</v>
      </c>
      <c r="F2" s="22">
        <f>'Data Sheet'!E16</f>
        <v>43921</v>
      </c>
      <c r="G2" s="22">
        <f>'Data Sheet'!F16</f>
        <v>44286</v>
      </c>
      <c r="H2" s="22">
        <f>'Data Sheet'!G16</f>
        <v>44651</v>
      </c>
      <c r="I2" s="22">
        <f>'Data Sheet'!H16</f>
        <v>45016</v>
      </c>
      <c r="J2" s="22">
        <f>'Data Sheet'!I16</f>
        <v>45382</v>
      </c>
      <c r="K2" s="22">
        <f>'Data Sheet'!J16</f>
        <v>45747</v>
      </c>
      <c r="L2" s="22">
        <f>'Data Sheet'!K16</f>
        <v>46112</v>
      </c>
      <c r="M2" s="23">
        <f>L2+365</f>
        <v>46477</v>
      </c>
      <c r="N2" s="23">
        <f t="shared" ref="N2:Q2" si="0">M2+365</f>
        <v>46842</v>
      </c>
      <c r="O2" s="23">
        <f t="shared" si="0"/>
        <v>47207</v>
      </c>
      <c r="P2" s="23">
        <f t="shared" si="0"/>
        <v>47572</v>
      </c>
      <c r="Q2" s="23">
        <f t="shared" si="0"/>
        <v>47937</v>
      </c>
      <c r="S2" s="23">
        <v>46477</v>
      </c>
      <c r="T2" s="23">
        <v>46842</v>
      </c>
      <c r="U2" s="23">
        <v>47207</v>
      </c>
      <c r="V2" s="23">
        <v>47572</v>
      </c>
      <c r="W2" s="23">
        <v>47937</v>
      </c>
    </row>
    <row r="3" spans="1:23" x14ac:dyDescent="0.45">
      <c r="B3" s="98" t="str">
        <f>'Historical Financial Statement'!B3</f>
        <v>Sales</v>
      </c>
      <c r="C3">
        <f>'Historical Financial Statement'!C3</f>
        <v>68484</v>
      </c>
      <c r="D3">
        <f>'Historical Financial Statement'!D3</f>
        <v>70522</v>
      </c>
      <c r="E3">
        <f>'Historical Financial Statement'!E3</f>
        <v>82675</v>
      </c>
      <c r="F3">
        <f>'Historical Financial Statement'!F3</f>
        <v>90791</v>
      </c>
      <c r="G3">
        <f>'Historical Financial Statement'!G3</f>
        <v>100472</v>
      </c>
      <c r="H3">
        <f>'Historical Financial Statement'!H3</f>
        <v>121641</v>
      </c>
      <c r="I3">
        <f>'Historical Financial Statement'!I3</f>
        <v>146767</v>
      </c>
      <c r="J3">
        <f>'Historical Financial Statement'!J3</f>
        <v>153670</v>
      </c>
      <c r="K3">
        <f>'Historical Financial Statement'!K3</f>
        <v>162990</v>
      </c>
      <c r="L3">
        <f>'Historical Financial Statement'!L3</f>
        <v>178650</v>
      </c>
      <c r="M3" s="87">
        <f>L3*(1+$C4)</f>
        <v>196627.56939503259</v>
      </c>
      <c r="N3" s="86">
        <f t="shared" ref="N3:Q3" si="1">M3*(1+$C4)</f>
        <v>216414.22360032666</v>
      </c>
      <c r="O3" s="86">
        <f t="shared" si="1"/>
        <v>238192.01102180424</v>
      </c>
      <c r="P3" s="86">
        <f t="shared" si="1"/>
        <v>262161.29961674882</v>
      </c>
      <c r="Q3" s="99">
        <f t="shared" si="1"/>
        <v>288542.62039229897</v>
      </c>
      <c r="S3" s="266" t="s">
        <v>111</v>
      </c>
      <c r="T3" s="267"/>
      <c r="U3" s="267"/>
      <c r="V3" s="267"/>
      <c r="W3" s="268"/>
    </row>
    <row r="4" spans="1:23" x14ac:dyDescent="0.45">
      <c r="B4" s="98" t="s">
        <v>90</v>
      </c>
      <c r="C4" s="100">
        <f>_xlfn.RRI(10,C3,L3)</f>
        <v>0.10063011136318267</v>
      </c>
      <c r="M4" s="88"/>
      <c r="Q4" s="101"/>
      <c r="S4" s="64">
        <f>L18</f>
        <v>33770</v>
      </c>
      <c r="T4" s="62">
        <f>S7</f>
        <v>33664.389196786622</v>
      </c>
      <c r="U4" s="62">
        <f t="shared" ref="U4:W4" si="2">T7</f>
        <v>33604.96254727093</v>
      </c>
      <c r="V4" s="62">
        <f t="shared" si="2"/>
        <v>33891.802461493586</v>
      </c>
      <c r="W4" s="65">
        <f t="shared" si="2"/>
        <v>34381.205585299496</v>
      </c>
    </row>
    <row r="5" spans="1:23" x14ac:dyDescent="0.45">
      <c r="B5" s="98"/>
      <c r="M5" s="88"/>
      <c r="Q5" s="101"/>
      <c r="S5" s="64">
        <f>-M19</f>
        <v>-4711.6420103622086</v>
      </c>
      <c r="T5" s="62">
        <f t="shared" ref="T5:W5" si="3">-N19</f>
        <v>-4763.7376754573552</v>
      </c>
      <c r="U5" s="62">
        <f t="shared" si="3"/>
        <v>-4733.8013829469046</v>
      </c>
      <c r="V5" s="62">
        <f t="shared" si="3"/>
        <v>-4813.74659338122</v>
      </c>
      <c r="W5" s="65">
        <f t="shared" si="3"/>
        <v>-4946.5198444537955</v>
      </c>
    </row>
    <row r="6" spans="1:23" x14ac:dyDescent="0.45">
      <c r="B6" s="98" t="str">
        <f>'Historical Financial Statement'!B4</f>
        <v>COGS</v>
      </c>
      <c r="C6">
        <f>'Historical Financial Statement'!C4</f>
        <v>44609</v>
      </c>
      <c r="D6">
        <f>'Historical Financial Statement'!D4</f>
        <v>46395</v>
      </c>
      <c r="E6">
        <f>'Historical Financial Statement'!E4</f>
        <v>55446</v>
      </c>
      <c r="F6">
        <f>'Historical Financial Statement'!F4</f>
        <v>62210</v>
      </c>
      <c r="G6">
        <f>'Historical Financial Statement'!G4</f>
        <v>68490</v>
      </c>
      <c r="H6">
        <f>'Historical Financial Statement'!H4</f>
        <v>84819</v>
      </c>
      <c r="I6">
        <f>'Historical Financial Statement'!I4</f>
        <v>104880</v>
      </c>
      <c r="J6">
        <f>'Historical Financial Statement'!J4</f>
        <v>110030</v>
      </c>
      <c r="K6">
        <f>'Historical Financial Statement'!K4</f>
        <v>116585</v>
      </c>
      <c r="L6">
        <f>'Historical Financial Statement'!L4</f>
        <v>128257</v>
      </c>
      <c r="M6" s="89">
        <f>M3*C8</f>
        <v>135828.55446958737</v>
      </c>
      <c r="N6" s="12">
        <f t="shared" ref="N6:Q6" si="4">N3*D8</f>
        <v>150349.94114197401</v>
      </c>
      <c r="O6" s="12">
        <f t="shared" si="4"/>
        <v>166357.46820010521</v>
      </c>
      <c r="P6" s="12">
        <f t="shared" si="4"/>
        <v>183825.99150013982</v>
      </c>
      <c r="Q6" s="102">
        <f t="shared" si="4"/>
        <v>202785.92113548462</v>
      </c>
      <c r="S6" s="64">
        <f>M24</f>
        <v>4606.0312071488288</v>
      </c>
      <c r="T6" s="62">
        <f t="shared" ref="T6:W6" si="5">N24</f>
        <v>4704.3110259416671</v>
      </c>
      <c r="U6" s="62">
        <f t="shared" si="5"/>
        <v>5020.6412971695572</v>
      </c>
      <c r="V6" s="62">
        <f t="shared" si="5"/>
        <v>5303.1497171871333</v>
      </c>
      <c r="W6" s="65">
        <f t="shared" si="5"/>
        <v>5369.4901552238571</v>
      </c>
    </row>
    <row r="7" spans="1:23" ht="14.65" thickBot="1" x14ac:dyDescent="0.5">
      <c r="B7" s="103" t="s">
        <v>91</v>
      </c>
      <c r="C7" s="85">
        <f>C6/C3</f>
        <v>0.65137842415746738</v>
      </c>
      <c r="D7" s="85">
        <f t="shared" ref="D7:L7" si="6">D6/D3</f>
        <v>0.65787981055557132</v>
      </c>
      <c r="E7" s="85">
        <f t="shared" si="6"/>
        <v>0.67065013607499246</v>
      </c>
      <c r="F7" s="85">
        <f t="shared" si="6"/>
        <v>0.68520007489729162</v>
      </c>
      <c r="G7" s="85">
        <f t="shared" si="6"/>
        <v>0.68168245879448996</v>
      </c>
      <c r="H7" s="85">
        <f t="shared" si="6"/>
        <v>0.69728956519594543</v>
      </c>
      <c r="I7" s="85">
        <f t="shared" si="6"/>
        <v>0.71460205632056251</v>
      </c>
      <c r="J7" s="85">
        <f t="shared" si="6"/>
        <v>0.71601483698835167</v>
      </c>
      <c r="K7" s="85">
        <f t="shared" si="6"/>
        <v>0.71528928155101545</v>
      </c>
      <c r="L7" s="85">
        <f t="shared" si="6"/>
        <v>0.71792331374195351</v>
      </c>
      <c r="M7" s="90">
        <f>M6/M3</f>
        <v>0.69079099582776415</v>
      </c>
      <c r="N7" s="85">
        <f t="shared" ref="N7:Q7" si="7">N6/N3</f>
        <v>0.6947322529947938</v>
      </c>
      <c r="O7" s="85">
        <f t="shared" si="7"/>
        <v>0.69841749723871616</v>
      </c>
      <c r="P7" s="85">
        <f t="shared" si="7"/>
        <v>0.70119423335508846</v>
      </c>
      <c r="Q7" s="104">
        <f t="shared" si="7"/>
        <v>0.70279364920086818</v>
      </c>
      <c r="S7" s="73">
        <f>SUM(S4:S6)</f>
        <v>33664.389196786622</v>
      </c>
      <c r="T7" s="74">
        <f t="shared" ref="T7:W7" si="8">SUM(T4:T6)</f>
        <v>33604.96254727093</v>
      </c>
      <c r="U7" s="74">
        <f t="shared" si="8"/>
        <v>33891.802461493586</v>
      </c>
      <c r="V7" s="74">
        <f t="shared" si="8"/>
        <v>34381.205585299496</v>
      </c>
      <c r="W7" s="75">
        <f t="shared" si="8"/>
        <v>34804.175896069559</v>
      </c>
    </row>
    <row r="8" spans="1:23" x14ac:dyDescent="0.45">
      <c r="B8" s="103" t="s">
        <v>92</v>
      </c>
      <c r="C8" s="85">
        <f>AVERAGE(C7:L7)</f>
        <v>0.69079099582776415</v>
      </c>
      <c r="D8" s="85">
        <f t="shared" ref="D8:G8" si="9">AVERAGE(D7:M7)</f>
        <v>0.6947322529947938</v>
      </c>
      <c r="E8" s="85">
        <f t="shared" si="9"/>
        <v>0.69841749723871616</v>
      </c>
      <c r="F8" s="85">
        <f t="shared" si="9"/>
        <v>0.70119423335508846</v>
      </c>
      <c r="G8" s="85">
        <f t="shared" si="9"/>
        <v>0.70279364920086818</v>
      </c>
      <c r="H8" s="85"/>
      <c r="I8" s="85"/>
      <c r="J8" s="85"/>
      <c r="K8" s="85"/>
      <c r="L8" s="85"/>
      <c r="M8" s="90"/>
      <c r="N8" s="85"/>
      <c r="O8" s="85"/>
      <c r="P8" s="85"/>
      <c r="Q8" s="104"/>
    </row>
    <row r="9" spans="1:23" ht="14.65" thickBot="1" x14ac:dyDescent="0.5">
      <c r="B9" s="98"/>
      <c r="M9" s="88"/>
      <c r="Q9" s="101"/>
    </row>
    <row r="10" spans="1:23" x14ac:dyDescent="0.45">
      <c r="B10" s="105" t="str">
        <f>'Historical Financial Statement'!B8</f>
        <v>Selling and admin</v>
      </c>
      <c r="C10" s="30">
        <f>'Historical Financial Statement'!C8</f>
        <v>4584</v>
      </c>
      <c r="D10" s="30">
        <f>'Historical Financial Statement'!D8</f>
        <v>4585</v>
      </c>
      <c r="E10" s="30">
        <f>'Historical Financial Statement'!E8</f>
        <v>5553</v>
      </c>
      <c r="F10" s="30">
        <f>'Historical Financial Statement'!F8</f>
        <v>5375</v>
      </c>
      <c r="G10" s="30">
        <f>'Historical Financial Statement'!G8</f>
        <v>3194</v>
      </c>
      <c r="H10" s="30">
        <f>'Historical Financial Statement'!H8</f>
        <v>4305</v>
      </c>
      <c r="I10" s="30">
        <f>'Historical Financial Statement'!I8</f>
        <v>5300</v>
      </c>
      <c r="J10" s="30">
        <f>'Historical Financial Statement'!J8</f>
        <v>5705</v>
      </c>
      <c r="K10" s="30">
        <f>'Historical Financial Statement'!K8</f>
        <v>6039</v>
      </c>
      <c r="L10" s="30">
        <f>'Historical Financial Statement'!L8</f>
        <v>6784</v>
      </c>
      <c r="M10" s="91">
        <f>M3*C12</f>
        <v>9315.4616720706053</v>
      </c>
      <c r="N10" s="16">
        <f t="shared" ref="N10:Q10" si="10">N3*D12</f>
        <v>9829.5893600909294</v>
      </c>
      <c r="O10" s="16">
        <f t="shared" si="10"/>
        <v>10352.006765112326</v>
      </c>
      <c r="P10" s="16">
        <f t="shared" si="10"/>
        <v>10772.254653408301</v>
      </c>
      <c r="Q10" s="106">
        <f t="shared" si="10"/>
        <v>11333.667392453124</v>
      </c>
      <c r="S10" s="266" t="s">
        <v>119</v>
      </c>
      <c r="T10" s="267"/>
      <c r="U10" s="267"/>
      <c r="V10" s="267"/>
      <c r="W10" s="268"/>
    </row>
    <row r="11" spans="1:23" x14ac:dyDescent="0.45">
      <c r="B11" s="103" t="s">
        <v>93</v>
      </c>
      <c r="C11" s="85">
        <f>C10/C3</f>
        <v>6.6935342561766253E-2</v>
      </c>
      <c r="D11" s="85">
        <f t="shared" ref="D11:L11" si="11">D10/D3</f>
        <v>6.5015172570261764E-2</v>
      </c>
      <c r="E11" s="85">
        <f t="shared" si="11"/>
        <v>6.7166616268521315E-2</v>
      </c>
      <c r="F11" s="85">
        <f t="shared" si="11"/>
        <v>5.9201903272350781E-2</v>
      </c>
      <c r="G11" s="85">
        <f t="shared" si="11"/>
        <v>3.1789951429253921E-2</v>
      </c>
      <c r="H11" s="85">
        <f t="shared" si="11"/>
        <v>3.5391027696253727E-2</v>
      </c>
      <c r="I11" s="85">
        <f t="shared" si="11"/>
        <v>3.6111659978060463E-2</v>
      </c>
      <c r="J11" s="85">
        <f t="shared" si="11"/>
        <v>3.712500813431379E-2</v>
      </c>
      <c r="K11" s="85">
        <f t="shared" si="11"/>
        <v>3.7051352843732746E-2</v>
      </c>
      <c r="L11" s="85">
        <f t="shared" si="11"/>
        <v>3.7973691575706688E-2</v>
      </c>
      <c r="M11" s="90">
        <f t="shared" ref="M11" si="12">M10/M3</f>
        <v>4.7376172633022143E-2</v>
      </c>
      <c r="N11" s="85">
        <f t="shared" ref="N11" si="13">N10/N3</f>
        <v>4.5420255640147733E-2</v>
      </c>
      <c r="O11" s="85">
        <f t="shared" ref="O11" si="14">O10/O3</f>
        <v>4.346076394713632E-2</v>
      </c>
      <c r="P11" s="85">
        <f t="shared" ref="P11" si="15">P10/P3</f>
        <v>4.109017871499783E-2</v>
      </c>
      <c r="Q11" s="104">
        <f t="shared" ref="Q11" si="16">Q10/Q3</f>
        <v>3.9279006259262533E-2</v>
      </c>
      <c r="S11" s="66">
        <f>'Historical Financial Statement'!L30</f>
        <v>90828</v>
      </c>
      <c r="T11">
        <f>S14</f>
        <v>105689.07139026529</v>
      </c>
      <c r="U11">
        <f t="shared" ref="U11:W11" si="17">T14</f>
        <v>121516.54094709025</v>
      </c>
      <c r="V11">
        <f t="shared" si="17"/>
        <v>138075.34849045443</v>
      </c>
      <c r="W11" s="67">
        <f t="shared" si="17"/>
        <v>157662.03354252092</v>
      </c>
    </row>
    <row r="12" spans="1:23" x14ac:dyDescent="0.45">
      <c r="B12" s="103" t="s">
        <v>94</v>
      </c>
      <c r="C12" s="85">
        <f>AVERAGE(C11:L11)</f>
        <v>4.7376172633022143E-2</v>
      </c>
      <c r="D12" s="85">
        <f t="shared" ref="D12:G12" si="18">AVERAGE(D11:M11)</f>
        <v>4.5420255640147733E-2</v>
      </c>
      <c r="E12" s="85">
        <f t="shared" si="18"/>
        <v>4.346076394713632E-2</v>
      </c>
      <c r="F12" s="85">
        <f t="shared" si="18"/>
        <v>4.109017871499783E-2</v>
      </c>
      <c r="G12" s="85">
        <f t="shared" si="18"/>
        <v>3.9279006259262533E-2</v>
      </c>
      <c r="H12" s="85"/>
      <c r="I12" s="85"/>
      <c r="J12" s="85"/>
      <c r="K12" s="85"/>
      <c r="L12" s="85"/>
      <c r="M12" s="90"/>
      <c r="N12" s="85"/>
      <c r="O12" s="85"/>
      <c r="P12" s="85"/>
      <c r="Q12" s="104"/>
      <c r="S12" s="66">
        <f>+'Historical Financial Statement'!M23</f>
        <v>36936.321156328813</v>
      </c>
      <c r="T12">
        <f>+'Historical Financial Statement'!N23</f>
        <v>40487.473617622003</v>
      </c>
      <c r="U12">
        <f>+'Historical Financial Statement'!O23</f>
        <v>43971.496111319255</v>
      </c>
      <c r="V12">
        <f>+'Historical Financial Statement'!P23</f>
        <v>48581.185122405877</v>
      </c>
      <c r="W12" s="67">
        <f>+'Historical Financial Statement'!Q23</f>
        <v>53507.854507267824</v>
      </c>
    </row>
    <row r="13" spans="1:23" x14ac:dyDescent="0.45">
      <c r="B13" s="98"/>
      <c r="M13" s="88"/>
      <c r="Q13" s="101"/>
      <c r="S13" s="66">
        <f>-M45</f>
        <v>-22075.249766063516</v>
      </c>
      <c r="T13">
        <f t="shared" ref="T13:W13" si="19">-N45</f>
        <v>-24660.004060797037</v>
      </c>
      <c r="U13">
        <f t="shared" si="19"/>
        <v>-27412.688567955076</v>
      </c>
      <c r="V13">
        <f t="shared" si="19"/>
        <v>-28994.500070339385</v>
      </c>
      <c r="W13" s="67">
        <f t="shared" si="19"/>
        <v>-32057.894376108216</v>
      </c>
    </row>
    <row r="14" spans="1:23" ht="14.65" thickBot="1" x14ac:dyDescent="0.5">
      <c r="B14" s="105" t="str">
        <f>'Historical Financial Statement'!B9</f>
        <v>Other Expenses</v>
      </c>
      <c r="C14" s="30">
        <f>'Historical Financial Statement'!C9</f>
        <v>687</v>
      </c>
      <c r="D14" s="30">
        <f>'Historical Financial Statement'!D9</f>
        <v>720</v>
      </c>
      <c r="E14" s="30">
        <f>'Historical Financial Statement'!E9</f>
        <v>1506</v>
      </c>
      <c r="F14" s="30">
        <f>'Historical Financial Statement'!F9</f>
        <v>939</v>
      </c>
      <c r="G14" s="30">
        <f>'Historical Financial Statement'!G9</f>
        <v>899</v>
      </c>
      <c r="H14" s="30">
        <f>'Historical Financial Statement'!H9</f>
        <v>1026</v>
      </c>
      <c r="I14" s="30">
        <f>'Historical Financial Statement'!I9</f>
        <v>1457</v>
      </c>
      <c r="J14" s="30">
        <f>'Historical Financial Statement'!J9</f>
        <v>1510</v>
      </c>
      <c r="K14" s="30">
        <f>'Historical Financial Statement'!K9</f>
        <v>1130</v>
      </c>
      <c r="L14" s="30">
        <f>'Historical Financial Statement'!L9</f>
        <v>1329</v>
      </c>
      <c r="M14" s="91">
        <f>M3*C16</f>
        <v>1972.3220221281008</v>
      </c>
      <c r="N14" s="16">
        <f t="shared" ref="N14:Q14" si="20">N3*D16</f>
        <v>2170.7799088568959</v>
      </c>
      <c r="O14" s="16">
        <f t="shared" si="20"/>
        <v>2384.9642671810325</v>
      </c>
      <c r="P14" s="16">
        <f t="shared" si="20"/>
        <v>2409.9092856706507</v>
      </c>
      <c r="Q14" s="106">
        <f t="shared" si="20"/>
        <v>2619.2372735074086</v>
      </c>
      <c r="S14" s="76">
        <f>SUM(S11:S13)</f>
        <v>105689.07139026529</v>
      </c>
      <c r="T14" s="77">
        <f t="shared" ref="T14:W14" si="21">SUM(T11:T13)</f>
        <v>121516.54094709025</v>
      </c>
      <c r="U14" s="77">
        <f t="shared" si="21"/>
        <v>138075.34849045443</v>
      </c>
      <c r="V14" s="77">
        <f t="shared" si="21"/>
        <v>157662.03354252092</v>
      </c>
      <c r="W14" s="78">
        <f t="shared" si="21"/>
        <v>179111.99367368052</v>
      </c>
    </row>
    <row r="15" spans="1:23" x14ac:dyDescent="0.45">
      <c r="B15" s="103" t="s">
        <v>95</v>
      </c>
      <c r="C15" s="85">
        <f>C14/C3</f>
        <v>1.0031540213772561E-2</v>
      </c>
      <c r="D15" s="85">
        <f t="shared" ref="D15:L15" si="22">D14/D3</f>
        <v>1.0209579989223221E-2</v>
      </c>
      <c r="E15" s="85">
        <f t="shared" si="22"/>
        <v>1.8215905654671908E-2</v>
      </c>
      <c r="F15" s="85">
        <f t="shared" si="22"/>
        <v>1.0342434822834862E-2</v>
      </c>
      <c r="G15" s="85">
        <f t="shared" si="22"/>
        <v>8.9477665419221281E-3</v>
      </c>
      <c r="H15" s="85">
        <f t="shared" si="22"/>
        <v>8.4346560781315503E-3</v>
      </c>
      <c r="I15" s="85">
        <f t="shared" si="22"/>
        <v>9.9272997335913393E-3</v>
      </c>
      <c r="J15" s="85">
        <f t="shared" si="22"/>
        <v>9.8262510574607925E-3</v>
      </c>
      <c r="K15" s="85">
        <f t="shared" si="22"/>
        <v>6.9329406712068222E-3</v>
      </c>
      <c r="L15" s="85">
        <f t="shared" si="22"/>
        <v>7.4391267842149455E-3</v>
      </c>
      <c r="M15" s="90">
        <f t="shared" ref="M15" si="23">M14/M3</f>
        <v>1.0030750154703014E-2</v>
      </c>
      <c r="N15" s="85">
        <f t="shared" ref="N15" si="24">N14/N3</f>
        <v>1.003067114879606E-2</v>
      </c>
      <c r="O15" s="85">
        <f t="shared" ref="O15" si="25">O14/O3</f>
        <v>1.0012780264753343E-2</v>
      </c>
      <c r="P15" s="85">
        <f t="shared" ref="P15" si="26">P14/P3</f>
        <v>9.1924677257614867E-3</v>
      </c>
      <c r="Q15" s="104">
        <f t="shared" ref="Q15" si="27">Q14/Q3</f>
        <v>9.0774710160541495E-3</v>
      </c>
    </row>
    <row r="16" spans="1:23" x14ac:dyDescent="0.45">
      <c r="B16" s="103" t="s">
        <v>94</v>
      </c>
      <c r="C16" s="85">
        <f>AVERAGE(C15:L15)</f>
        <v>1.0030750154703014E-2</v>
      </c>
      <c r="D16" s="85">
        <f t="shared" ref="D16:G16" si="28">AVERAGE(D15:M15)</f>
        <v>1.003067114879606E-2</v>
      </c>
      <c r="E16" s="85">
        <f t="shared" si="28"/>
        <v>1.0012780264753343E-2</v>
      </c>
      <c r="F16" s="85">
        <f t="shared" si="28"/>
        <v>9.1924677257614867E-3</v>
      </c>
      <c r="G16" s="85">
        <f t="shared" si="28"/>
        <v>9.0774710160541495E-3</v>
      </c>
      <c r="H16" s="85"/>
      <c r="I16" s="85"/>
      <c r="J16" s="85"/>
      <c r="K16" s="85"/>
      <c r="L16" s="85"/>
      <c r="M16" s="90"/>
      <c r="N16" s="85"/>
      <c r="O16" s="85"/>
      <c r="P16" s="85"/>
      <c r="Q16" s="104"/>
    </row>
    <row r="17" spans="2:23" ht="14.65" thickBot="1" x14ac:dyDescent="0.5">
      <c r="B17" s="98"/>
      <c r="M17" s="88"/>
      <c r="Q17" s="101"/>
    </row>
    <row r="18" spans="2:23" x14ac:dyDescent="0.45">
      <c r="B18" s="105" t="str">
        <f>'Historical Financial Statement'!B48</f>
        <v>Net Block</v>
      </c>
      <c r="C18" s="30">
        <f>'Historical Financial Statement'!C48</f>
        <v>14179</v>
      </c>
      <c r="D18" s="30">
        <f>'Historical Financial Statement'!D48</f>
        <v>12574</v>
      </c>
      <c r="E18" s="30">
        <f>'Historical Financial Statement'!E48</f>
        <v>15710</v>
      </c>
      <c r="F18" s="30">
        <f>'Historical Financial Statement'!F48</f>
        <v>23789</v>
      </c>
      <c r="G18" s="30">
        <f>'Historical Financial Statement'!G48</f>
        <v>25505</v>
      </c>
      <c r="H18" s="30">
        <f>'Historical Financial Statement'!H48</f>
        <v>25800</v>
      </c>
      <c r="I18" s="30">
        <f>'Historical Financial Statement'!I48</f>
        <v>29225</v>
      </c>
      <c r="J18" s="30">
        <f>'Historical Financial Statement'!J48</f>
        <v>27622</v>
      </c>
      <c r="K18" s="30">
        <f>'Historical Financial Statement'!K48</f>
        <v>30961</v>
      </c>
      <c r="L18" s="30">
        <f>'Historical Financial Statement'!L48</f>
        <v>33770</v>
      </c>
      <c r="M18" s="92">
        <f>S7</f>
        <v>33664.389196786622</v>
      </c>
      <c r="N18" s="63">
        <f t="shared" ref="N18:Q18" si="29">T7</f>
        <v>33604.96254727093</v>
      </c>
      <c r="O18" s="63">
        <f t="shared" si="29"/>
        <v>33891.802461493586</v>
      </c>
      <c r="P18" s="63">
        <f t="shared" si="29"/>
        <v>34381.205585299496</v>
      </c>
      <c r="Q18" s="107">
        <f t="shared" si="29"/>
        <v>34804.175896069559</v>
      </c>
      <c r="S18" s="266" t="s">
        <v>122</v>
      </c>
      <c r="T18" s="267"/>
      <c r="U18" s="267"/>
      <c r="V18" s="267"/>
      <c r="W18" s="268"/>
    </row>
    <row r="19" spans="2:23" x14ac:dyDescent="0.45">
      <c r="B19" s="105" t="str">
        <f>'Historical Financial Statement'!B13</f>
        <v>Depreciation</v>
      </c>
      <c r="C19" s="30">
        <f>'Historical Financial Statement'!C13</f>
        <v>1703</v>
      </c>
      <c r="D19" s="30">
        <f>'Historical Financial Statement'!D13</f>
        <v>1863</v>
      </c>
      <c r="E19" s="30">
        <f>'Historical Financial Statement'!E13</f>
        <v>2011</v>
      </c>
      <c r="F19" s="30">
        <f>'Historical Financial Statement'!F13</f>
        <v>2893</v>
      </c>
      <c r="G19" s="30">
        <f>'Historical Financial Statement'!G13</f>
        <v>3267</v>
      </c>
      <c r="H19" s="30">
        <f>'Historical Financial Statement'!H13</f>
        <v>3476</v>
      </c>
      <c r="I19" s="30">
        <f>'Historical Financial Statement'!I13</f>
        <v>4225</v>
      </c>
      <c r="J19" s="30">
        <f>'Historical Financial Statement'!J13</f>
        <v>4678</v>
      </c>
      <c r="K19" s="30">
        <f>'Historical Financial Statement'!K13</f>
        <v>4812</v>
      </c>
      <c r="L19" s="30">
        <f>'Historical Financial Statement'!L13</f>
        <v>4902</v>
      </c>
      <c r="M19" s="93">
        <f>L18*C21</f>
        <v>4711.6420103622086</v>
      </c>
      <c r="N19" s="62">
        <f t="shared" ref="N19:Q19" si="30">M18*D21</f>
        <v>4763.7376754573552</v>
      </c>
      <c r="O19" s="62">
        <f t="shared" si="30"/>
        <v>4733.8013829469046</v>
      </c>
      <c r="P19" s="62">
        <f t="shared" si="30"/>
        <v>4813.74659338122</v>
      </c>
      <c r="Q19" s="108">
        <f t="shared" si="30"/>
        <v>4946.5198444537955</v>
      </c>
      <c r="S19" s="68">
        <f>L28</f>
        <v>9176</v>
      </c>
      <c r="T19" s="30">
        <f>S23</f>
        <v>9176</v>
      </c>
      <c r="U19" s="30">
        <f t="shared" ref="U19:W19" si="31">T23</f>
        <v>9176</v>
      </c>
      <c r="V19" s="30">
        <f t="shared" si="31"/>
        <v>9176</v>
      </c>
      <c r="W19" s="69">
        <f t="shared" si="31"/>
        <v>9176</v>
      </c>
    </row>
    <row r="20" spans="2:23" x14ac:dyDescent="0.45">
      <c r="B20" s="103" t="s">
        <v>110</v>
      </c>
      <c r="C20" s="85">
        <f>C19/C18</f>
        <v>0.12010720078990056</v>
      </c>
      <c r="D20" s="85">
        <f t="shared" ref="D20:L20" si="32">D19/D18</f>
        <v>0.14816287577540957</v>
      </c>
      <c r="E20" s="85">
        <f t="shared" si="32"/>
        <v>0.12800763844684915</v>
      </c>
      <c r="F20" s="85">
        <f t="shared" si="32"/>
        <v>0.12161082853419648</v>
      </c>
      <c r="G20" s="85">
        <f t="shared" si="32"/>
        <v>0.12809253087629877</v>
      </c>
      <c r="H20" s="85">
        <f t="shared" si="32"/>
        <v>0.13472868217054262</v>
      </c>
      <c r="I20" s="85">
        <f t="shared" si="32"/>
        <v>0.14456800684345594</v>
      </c>
      <c r="J20" s="85">
        <f t="shared" si="32"/>
        <v>0.16935775830859459</v>
      </c>
      <c r="K20" s="85">
        <f t="shared" si="32"/>
        <v>0.15542133652013823</v>
      </c>
      <c r="L20" s="85">
        <f t="shared" si="32"/>
        <v>0.14515842463725201</v>
      </c>
      <c r="M20" s="90">
        <f>M19/M18</f>
        <v>0.13995923059290052</v>
      </c>
      <c r="N20" s="85">
        <f t="shared" ref="N20:Q20" si="33">N19/N18</f>
        <v>0.14175697023189274</v>
      </c>
      <c r="O20" s="85">
        <f t="shared" si="33"/>
        <v>0.1396739340825926</v>
      </c>
      <c r="P20" s="85">
        <f t="shared" si="33"/>
        <v>0.14001098889445146</v>
      </c>
      <c r="Q20" s="104">
        <f t="shared" si="33"/>
        <v>0.14212432034663997</v>
      </c>
      <c r="S20" s="66">
        <f>'Historical Financial Statement'!$S21</f>
        <v>0</v>
      </c>
      <c r="T20">
        <f>'Historical Financial Statement'!$S21</f>
        <v>0</v>
      </c>
      <c r="U20">
        <f>'Historical Financial Statement'!$S21</f>
        <v>0</v>
      </c>
      <c r="V20">
        <f>'Historical Financial Statement'!$S21</f>
        <v>0</v>
      </c>
      <c r="W20" s="67">
        <f>'Historical Financial Statement'!$S21</f>
        <v>0</v>
      </c>
    </row>
    <row r="21" spans="2:23" x14ac:dyDescent="0.45">
      <c r="B21" s="103" t="s">
        <v>94</v>
      </c>
      <c r="C21" s="85">
        <f>AVERAGE(C20:L20)</f>
        <v>0.13952152829026379</v>
      </c>
      <c r="D21" s="85">
        <f t="shared" ref="D21:G21" si="34">AVERAGE(D20:M20)</f>
        <v>0.14150673127056379</v>
      </c>
      <c r="E21" s="85">
        <f t="shared" si="34"/>
        <v>0.14086614071621212</v>
      </c>
      <c r="F21" s="85">
        <f t="shared" si="34"/>
        <v>0.14203277027978647</v>
      </c>
      <c r="G21" s="85">
        <f t="shared" si="34"/>
        <v>0.14387278631581196</v>
      </c>
      <c r="H21" s="85"/>
      <c r="I21" s="85"/>
      <c r="J21" s="85"/>
      <c r="K21" s="85"/>
      <c r="L21" s="85"/>
      <c r="M21" s="88"/>
      <c r="Q21" s="101"/>
      <c r="S21" s="66">
        <f>'Historical Financial Statement'!$L89</f>
        <v>-2824</v>
      </c>
      <c r="T21">
        <f>'Historical Financial Statement'!$L89</f>
        <v>-2824</v>
      </c>
      <c r="U21">
        <f>'Historical Financial Statement'!$L89</f>
        <v>-2824</v>
      </c>
      <c r="V21">
        <f>'Historical Financial Statement'!$L89</f>
        <v>-2824</v>
      </c>
      <c r="W21" s="67">
        <f>'Historical Financial Statement'!$L89</f>
        <v>-2824</v>
      </c>
    </row>
    <row r="22" spans="2:23" x14ac:dyDescent="0.45">
      <c r="B22" s="98"/>
      <c r="M22" s="88"/>
      <c r="Q22" s="101"/>
      <c r="S22" s="66">
        <f>-S21</f>
        <v>2824</v>
      </c>
      <c r="T22">
        <f t="shared" ref="T22:W22" si="35">-T21</f>
        <v>2824</v>
      </c>
      <c r="U22">
        <f t="shared" si="35"/>
        <v>2824</v>
      </c>
      <c r="V22">
        <f t="shared" si="35"/>
        <v>2824</v>
      </c>
      <c r="W22" s="67">
        <f t="shared" si="35"/>
        <v>2824</v>
      </c>
    </row>
    <row r="23" spans="2:23" x14ac:dyDescent="0.45">
      <c r="B23" s="98"/>
      <c r="M23" s="88"/>
      <c r="Q23" s="101"/>
      <c r="S23" s="79">
        <f>SUM(S19:S22)</f>
        <v>9176</v>
      </c>
      <c r="T23" s="80">
        <f t="shared" ref="T23:W23" si="36">SUM(T19:T22)</f>
        <v>9176</v>
      </c>
      <c r="U23" s="80">
        <f t="shared" si="36"/>
        <v>9176</v>
      </c>
      <c r="V23" s="80">
        <f t="shared" si="36"/>
        <v>9176</v>
      </c>
      <c r="W23" s="81">
        <f t="shared" si="36"/>
        <v>9176</v>
      </c>
    </row>
    <row r="24" spans="2:23" ht="14.65" thickBot="1" x14ac:dyDescent="0.5">
      <c r="B24" s="98" t="str">
        <f>'Manual Data'!B14</f>
        <v>Fixed assets purchased</v>
      </c>
      <c r="C24">
        <f>-'Manual Data'!C14</f>
        <v>2760</v>
      </c>
      <c r="D24">
        <f>-'Manual Data'!D14</f>
        <v>1998</v>
      </c>
      <c r="E24">
        <f>-'Manual Data'!E14</f>
        <v>2445</v>
      </c>
      <c r="F24">
        <f>-'Manual Data'!F14</f>
        <v>3307</v>
      </c>
      <c r="G24">
        <f>-'Manual Data'!G14</f>
        <v>2107</v>
      </c>
      <c r="H24">
        <f>-'Manual Data'!H14</f>
        <v>2161</v>
      </c>
      <c r="I24">
        <f>-'Manual Data'!I14</f>
        <v>2579</v>
      </c>
      <c r="J24">
        <f>-'Manual Data'!J14</f>
        <v>2201</v>
      </c>
      <c r="K24">
        <f>-'Manual Data'!K14</f>
        <v>2237</v>
      </c>
      <c r="L24">
        <f>-'Manual Data'!L14</f>
        <v>2727</v>
      </c>
      <c r="M24" s="87">
        <f>M3*C26</f>
        <v>4606.0312071488288</v>
      </c>
      <c r="N24" s="86">
        <f t="shared" ref="N24:Q24" si="37">N3*D26</f>
        <v>4704.3110259416671</v>
      </c>
      <c r="O24" s="86">
        <f t="shared" si="37"/>
        <v>5020.6412971695572</v>
      </c>
      <c r="P24" s="86">
        <f t="shared" si="37"/>
        <v>5303.1497171871333</v>
      </c>
      <c r="Q24" s="99">
        <f t="shared" si="37"/>
        <v>5369.4901552238571</v>
      </c>
      <c r="S24" s="70">
        <f>AVERAGE(S19,S23)*C31</f>
        <v>271.79132286652572</v>
      </c>
      <c r="T24" s="71">
        <f t="shared" ref="T24:W24" si="38">AVERAGE(T19,T23)*D31</f>
        <v>298.97045515317831</v>
      </c>
      <c r="U24" s="71">
        <f t="shared" si="38"/>
        <v>328.86750066849612</v>
      </c>
      <c r="V24" s="71">
        <f t="shared" si="38"/>
        <v>361.75425073534575</v>
      </c>
      <c r="W24" s="72">
        <f t="shared" si="38"/>
        <v>364.25991539446204</v>
      </c>
    </row>
    <row r="25" spans="2:23" x14ac:dyDescent="0.45">
      <c r="B25" s="103" t="s">
        <v>112</v>
      </c>
      <c r="C25" s="85">
        <f>C24/C3</f>
        <v>4.0301384264937797E-2</v>
      </c>
      <c r="D25" s="85">
        <f t="shared" ref="D25:L25" si="39">D24/D3</f>
        <v>2.8331584470094439E-2</v>
      </c>
      <c r="E25" s="85">
        <f t="shared" si="39"/>
        <v>2.9573631690353794E-2</v>
      </c>
      <c r="F25" s="85">
        <f t="shared" si="39"/>
        <v>3.6424315185425868E-2</v>
      </c>
      <c r="G25" s="85">
        <f t="shared" si="39"/>
        <v>2.0971016800700692E-2</v>
      </c>
      <c r="H25" s="85">
        <f t="shared" si="39"/>
        <v>1.7765391603160118E-2</v>
      </c>
      <c r="I25" s="85">
        <f t="shared" si="39"/>
        <v>1.7572070015739231E-2</v>
      </c>
      <c r="J25" s="85">
        <f t="shared" si="39"/>
        <v>1.4322899720179605E-2</v>
      </c>
      <c r="K25" s="85">
        <f t="shared" si="39"/>
        <v>1.3724768390698815E-2</v>
      </c>
      <c r="L25" s="85">
        <f t="shared" si="39"/>
        <v>1.5264483627204031E-2</v>
      </c>
      <c r="M25" s="90">
        <f t="shared" ref="M25" si="40">M24/M3</f>
        <v>2.342515457684944E-2</v>
      </c>
      <c r="N25" s="85">
        <f t="shared" ref="N25" si="41">N24/N3</f>
        <v>2.1737531608040601E-2</v>
      </c>
      <c r="O25" s="85">
        <f t="shared" ref="O25" si="42">O24/O3</f>
        <v>2.1078126321835221E-2</v>
      </c>
      <c r="P25" s="85">
        <f t="shared" ref="P25" si="43">P24/P3</f>
        <v>2.0228575784983362E-2</v>
      </c>
      <c r="Q25" s="104">
        <f t="shared" ref="Q25" si="44">Q24/Q3</f>
        <v>1.8609001844939112E-2</v>
      </c>
    </row>
    <row r="26" spans="2:23" x14ac:dyDescent="0.45">
      <c r="B26" s="103" t="s">
        <v>94</v>
      </c>
      <c r="C26" s="85">
        <f>AVERAGE(C25:L25)</f>
        <v>2.342515457684944E-2</v>
      </c>
      <c r="D26" s="85">
        <f t="shared" ref="D26:G26" si="45">AVERAGE(D25:M25)</f>
        <v>2.1737531608040601E-2</v>
      </c>
      <c r="E26" s="85">
        <f t="shared" si="45"/>
        <v>2.1078126321835221E-2</v>
      </c>
      <c r="F26" s="85">
        <f t="shared" si="45"/>
        <v>2.0228575784983362E-2</v>
      </c>
      <c r="G26" s="85">
        <f t="shared" si="45"/>
        <v>1.8609001844939112E-2</v>
      </c>
      <c r="H26" s="85"/>
      <c r="I26" s="85"/>
      <c r="J26" s="85"/>
      <c r="K26" s="85"/>
      <c r="L26" s="85"/>
      <c r="M26" s="88"/>
      <c r="Q26" s="101"/>
    </row>
    <row r="27" spans="2:23" x14ac:dyDescent="0.45">
      <c r="B27" s="98"/>
      <c r="M27" s="88"/>
      <c r="Q27" s="101"/>
    </row>
    <row r="28" spans="2:23" x14ac:dyDescent="0.45">
      <c r="B28" s="105" t="str">
        <f>'Historical Financial Statement'!B34</f>
        <v>Borrowings</v>
      </c>
      <c r="C28" s="30">
        <f>'Historical Financial Statement'!C34</f>
        <v>0</v>
      </c>
      <c r="D28" s="30">
        <f>'Historical Financial Statement'!D34</f>
        <v>0</v>
      </c>
      <c r="E28" s="30">
        <f>'Historical Financial Statement'!E34</f>
        <v>0</v>
      </c>
      <c r="F28" s="30">
        <f>'Historical Financial Statement'!F34</f>
        <v>4633</v>
      </c>
      <c r="G28" s="30">
        <f>'Historical Financial Statement'!G34</f>
        <v>5325</v>
      </c>
      <c r="H28" s="30">
        <f>'Historical Financial Statement'!H34</f>
        <v>5474</v>
      </c>
      <c r="I28" s="30">
        <f>'Historical Financial Statement'!I34</f>
        <v>8299</v>
      </c>
      <c r="J28" s="30">
        <f>'Historical Financial Statement'!J34</f>
        <v>8359</v>
      </c>
      <c r="K28" s="30">
        <f>'Historical Financial Statement'!K34</f>
        <v>8227</v>
      </c>
      <c r="L28" s="30">
        <f>'Historical Financial Statement'!L34</f>
        <v>9176</v>
      </c>
      <c r="M28" s="94">
        <f>S23</f>
        <v>9176</v>
      </c>
      <c r="N28" s="30">
        <f t="shared" ref="N28:Q28" si="46">T23</f>
        <v>9176</v>
      </c>
      <c r="O28" s="30">
        <f t="shared" si="46"/>
        <v>9176</v>
      </c>
      <c r="P28" s="30">
        <f t="shared" si="46"/>
        <v>9176</v>
      </c>
      <c r="Q28" s="109">
        <f t="shared" si="46"/>
        <v>9176</v>
      </c>
    </row>
    <row r="29" spans="2:23" x14ac:dyDescent="0.45">
      <c r="B29" s="110" t="str">
        <f>'Historical Financial Statement'!B17</f>
        <v>Interest</v>
      </c>
      <c r="C29" s="30">
        <f>'Historical Financial Statement'!C17</f>
        <v>0</v>
      </c>
      <c r="D29" s="30">
        <f>'Historical Financial Statement'!D17</f>
        <v>0</v>
      </c>
      <c r="E29" s="30">
        <f>'Historical Financial Statement'!E17</f>
        <v>0</v>
      </c>
      <c r="F29" s="30">
        <f>'Historical Financial Statement'!F17</f>
        <v>170</v>
      </c>
      <c r="G29" s="30">
        <f>'Historical Financial Statement'!G17</f>
        <v>195</v>
      </c>
      <c r="H29" s="30">
        <f>'Historical Financial Statement'!H17</f>
        <v>200</v>
      </c>
      <c r="I29" s="30">
        <f>'Historical Financial Statement'!I17</f>
        <v>284</v>
      </c>
      <c r="J29" s="30">
        <f>'Historical Financial Statement'!J17</f>
        <v>470</v>
      </c>
      <c r="K29" s="30">
        <f>'Historical Financial Statement'!K17</f>
        <v>416</v>
      </c>
      <c r="L29" s="30">
        <f>'Historical Financial Statement'!L17</f>
        <v>416</v>
      </c>
      <c r="M29" s="91">
        <f>S24</f>
        <v>271.79132286652572</v>
      </c>
      <c r="N29" s="16">
        <f t="shared" ref="N29:Q29" si="47">T24</f>
        <v>298.97045515317831</v>
      </c>
      <c r="O29" s="16">
        <f t="shared" si="47"/>
        <v>328.86750066849612</v>
      </c>
      <c r="P29" s="16">
        <f t="shared" si="47"/>
        <v>361.75425073534575</v>
      </c>
      <c r="Q29" s="106">
        <f t="shared" si="47"/>
        <v>364.25991539446204</v>
      </c>
    </row>
    <row r="30" spans="2:23" x14ac:dyDescent="0.45">
      <c r="B30" s="103" t="s">
        <v>113</v>
      </c>
      <c r="C30" s="85">
        <f>IFERROR(C29/C28,0)</f>
        <v>0</v>
      </c>
      <c r="D30" s="85">
        <f t="shared" ref="D30:Q30" si="48">IFERROR(D29/D28,0)</f>
        <v>0</v>
      </c>
      <c r="E30" s="85">
        <f t="shared" si="48"/>
        <v>0</v>
      </c>
      <c r="F30" s="85">
        <f t="shared" si="48"/>
        <v>3.669328728685517E-2</v>
      </c>
      <c r="G30" s="85">
        <f t="shared" si="48"/>
        <v>3.6619718309859155E-2</v>
      </c>
      <c r="H30" s="85">
        <f t="shared" si="48"/>
        <v>3.6536353671903547E-2</v>
      </c>
      <c r="I30" s="85">
        <f t="shared" si="48"/>
        <v>3.4220990480780818E-2</v>
      </c>
      <c r="J30" s="85">
        <f t="shared" si="48"/>
        <v>5.6226821390118434E-2</v>
      </c>
      <c r="K30" s="85">
        <f t="shared" si="48"/>
        <v>5.0565212106478664E-2</v>
      </c>
      <c r="L30" s="85">
        <f t="shared" si="48"/>
        <v>4.5335658238884045E-2</v>
      </c>
      <c r="M30" s="90">
        <f t="shared" si="48"/>
        <v>2.9619804148487982E-2</v>
      </c>
      <c r="N30" s="85">
        <f t="shared" si="48"/>
        <v>3.2581784563336783E-2</v>
      </c>
      <c r="O30" s="85">
        <f t="shared" si="48"/>
        <v>3.5839963019670455E-2</v>
      </c>
      <c r="P30" s="85">
        <f t="shared" si="48"/>
        <v>3.9423959321637503E-2</v>
      </c>
      <c r="Q30" s="104">
        <f t="shared" si="48"/>
        <v>3.9697026525115739E-2</v>
      </c>
    </row>
    <row r="31" spans="2:23" x14ac:dyDescent="0.45">
      <c r="B31" s="103" t="s">
        <v>94</v>
      </c>
      <c r="C31" s="85">
        <f>IFERROR(AVERAGE(C30:L30),0)</f>
        <v>2.9619804148487982E-2</v>
      </c>
      <c r="D31" s="85">
        <f t="shared" ref="D31:G31" si="49">IFERROR(AVERAGE(D30:M30),0)</f>
        <v>3.2581784563336783E-2</v>
      </c>
      <c r="E31" s="85">
        <f t="shared" si="49"/>
        <v>3.5839963019670455E-2</v>
      </c>
      <c r="F31" s="85">
        <f t="shared" si="49"/>
        <v>3.9423959321637503E-2</v>
      </c>
      <c r="G31" s="85">
        <f t="shared" si="49"/>
        <v>3.9697026525115739E-2</v>
      </c>
      <c r="H31" s="85"/>
      <c r="I31" s="85"/>
      <c r="J31" s="85"/>
      <c r="K31" s="85"/>
      <c r="L31" s="85"/>
      <c r="M31" s="90"/>
      <c r="N31" s="85"/>
      <c r="O31" s="85"/>
      <c r="P31" s="85"/>
      <c r="Q31" s="104"/>
    </row>
    <row r="32" spans="2:23" x14ac:dyDescent="0.45">
      <c r="B32" s="98"/>
      <c r="M32" s="88"/>
      <c r="Q32" s="101"/>
      <c r="R32" s="30">
        <f>'Historical Financial Statement'!R17</f>
        <v>0</v>
      </c>
    </row>
    <row r="33" spans="2:17" x14ac:dyDescent="0.45">
      <c r="B33" s="98"/>
      <c r="M33" s="88"/>
      <c r="Q33" s="101"/>
    </row>
    <row r="34" spans="2:17" x14ac:dyDescent="0.45">
      <c r="B34" s="98"/>
      <c r="M34" s="88"/>
      <c r="Q34" s="101"/>
    </row>
    <row r="35" spans="2:17" x14ac:dyDescent="0.45">
      <c r="B35" s="98"/>
      <c r="M35" s="88"/>
      <c r="Q35" s="101"/>
    </row>
    <row r="36" spans="2:17" x14ac:dyDescent="0.45">
      <c r="B36" s="105" t="str">
        <f>'Historical Financial Statement'!B18</f>
        <v>Other Income</v>
      </c>
      <c r="C36" s="30">
        <f>'Historical Financial Statement'!C18</f>
        <v>3050</v>
      </c>
      <c r="D36" s="30">
        <f>'Historical Financial Statement'!D18</f>
        <v>3311</v>
      </c>
      <c r="E36" s="30">
        <f>'Historical Financial Statement'!E18</f>
        <v>2882</v>
      </c>
      <c r="F36" s="30">
        <f>'Historical Financial Statement'!F18</f>
        <v>2803</v>
      </c>
      <c r="G36" s="30">
        <f>'Historical Financial Statement'!G18</f>
        <v>2201</v>
      </c>
      <c r="H36" s="30">
        <f>'Historical Financial Statement'!H18</f>
        <v>2295</v>
      </c>
      <c r="I36" s="30">
        <f>'Historical Financial Statement'!I18</f>
        <v>2701</v>
      </c>
      <c r="J36" s="30">
        <f>'Historical Financial Statement'!J18</f>
        <v>4711</v>
      </c>
      <c r="K36" s="30">
        <f>'Historical Financial Statement'!K18</f>
        <v>3600</v>
      </c>
      <c r="L36" s="30">
        <f>'Historical Financial Statement'!L18</f>
        <v>3033</v>
      </c>
      <c r="M36" s="91">
        <f>M3*C38</f>
        <v>5625.8376615639427</v>
      </c>
      <c r="N36" s="16">
        <f t="shared" ref="N36:Q36" si="50">N3*D38</f>
        <v>5847.3416609356409</v>
      </c>
      <c r="O36" s="16">
        <f t="shared" si="50"/>
        <v>5961.0275103215345</v>
      </c>
      <c r="P36" s="16">
        <f t="shared" si="50"/>
        <v>6303.0967327938752</v>
      </c>
      <c r="Q36" s="106">
        <f t="shared" si="50"/>
        <v>6740.2952273789788</v>
      </c>
    </row>
    <row r="37" spans="2:17" x14ac:dyDescent="0.45">
      <c r="B37" s="103" t="s">
        <v>114</v>
      </c>
      <c r="C37" s="85">
        <f>C36/C3</f>
        <v>4.4535950002920391E-2</v>
      </c>
      <c r="D37" s="85">
        <f t="shared" ref="D37:Q37" si="51">D36/D3</f>
        <v>4.6949887978219564E-2</v>
      </c>
      <c r="E37" s="85">
        <f t="shared" si="51"/>
        <v>3.4859389174478381E-2</v>
      </c>
      <c r="F37" s="85">
        <f t="shared" si="51"/>
        <v>3.0873104162306837E-2</v>
      </c>
      <c r="G37" s="85">
        <f t="shared" si="51"/>
        <v>2.1906600844016244E-2</v>
      </c>
      <c r="H37" s="85">
        <f t="shared" si="51"/>
        <v>1.886699385897847E-2</v>
      </c>
      <c r="I37" s="85">
        <f t="shared" si="51"/>
        <v>1.8403319547309682E-2</v>
      </c>
      <c r="J37" s="85">
        <f t="shared" si="51"/>
        <v>3.0656601809071388E-2</v>
      </c>
      <c r="K37" s="85">
        <f t="shared" si="51"/>
        <v>2.2087244616234125E-2</v>
      </c>
      <c r="L37" s="85">
        <f t="shared" si="51"/>
        <v>1.6977329974811082E-2</v>
      </c>
      <c r="M37" s="90">
        <f t="shared" si="51"/>
        <v>2.8611642196834625E-2</v>
      </c>
      <c r="N37" s="85">
        <f t="shared" si="51"/>
        <v>2.7019211416226041E-2</v>
      </c>
      <c r="O37" s="85">
        <f t="shared" si="51"/>
        <v>2.5026143760026688E-2</v>
      </c>
      <c r="P37" s="85">
        <f t="shared" si="51"/>
        <v>2.4042819218581514E-2</v>
      </c>
      <c r="Q37" s="104">
        <f t="shared" si="51"/>
        <v>2.3359790724208983E-2</v>
      </c>
    </row>
    <row r="38" spans="2:17" x14ac:dyDescent="0.45">
      <c r="B38" s="103" t="s">
        <v>94</v>
      </c>
      <c r="C38" s="85">
        <f>AVERAGE(C37:L37)</f>
        <v>2.8611642196834625E-2</v>
      </c>
      <c r="D38" s="85">
        <f t="shared" ref="D38:G38" si="52">AVERAGE(D37:M37)</f>
        <v>2.7019211416226041E-2</v>
      </c>
      <c r="E38" s="85">
        <f t="shared" si="52"/>
        <v>2.5026143760026688E-2</v>
      </c>
      <c r="F38" s="85">
        <f t="shared" si="52"/>
        <v>2.4042819218581514E-2</v>
      </c>
      <c r="G38" s="85">
        <f t="shared" si="52"/>
        <v>2.3359790724208983E-2</v>
      </c>
      <c r="H38" s="85"/>
      <c r="I38" s="85"/>
      <c r="J38" s="85"/>
      <c r="K38" s="85"/>
      <c r="L38" s="85"/>
      <c r="M38" s="90"/>
      <c r="N38" s="85"/>
      <c r="O38" s="85"/>
      <c r="P38" s="85"/>
      <c r="Q38" s="104"/>
    </row>
    <row r="39" spans="2:17" x14ac:dyDescent="0.45">
      <c r="B39" s="98"/>
      <c r="M39" s="88"/>
      <c r="Q39" s="101"/>
    </row>
    <row r="40" spans="2:17" x14ac:dyDescent="0.45">
      <c r="B40" s="103" t="str">
        <f>'Historical Financial Statement'!B19</f>
        <v>EBT</v>
      </c>
      <c r="C40">
        <f>'Historical Financial Statement'!C19</f>
        <v>19951</v>
      </c>
      <c r="D40">
        <f>'Historical Financial Statement'!D19</f>
        <v>20270</v>
      </c>
      <c r="E40">
        <f>'Historical Financial Statement'!E19</f>
        <v>21041</v>
      </c>
      <c r="F40">
        <f>'Historical Financial Statement'!F19</f>
        <v>22007</v>
      </c>
      <c r="G40">
        <f>'Historical Financial Statement'!G19</f>
        <v>26628</v>
      </c>
      <c r="H40">
        <f>'Historical Financial Statement'!H19</f>
        <v>30110</v>
      </c>
      <c r="I40">
        <f>'Historical Financial Statement'!I19</f>
        <v>33322</v>
      </c>
      <c r="J40">
        <f>'Historical Financial Statement'!J19</f>
        <v>35988</v>
      </c>
      <c r="K40">
        <f>'Historical Financial Statement'!K19</f>
        <v>37608</v>
      </c>
      <c r="L40">
        <f>'Historical Financial Statement'!L19</f>
        <v>39995</v>
      </c>
      <c r="M40" s="88">
        <f>'Historical Financial Statement'!M19</f>
        <v>50153.635559581729</v>
      </c>
      <c r="N40">
        <f>'Historical Financial Statement'!N19</f>
        <v>54848.546719729937</v>
      </c>
      <c r="O40">
        <f>'Historical Financial Statement'!O19</f>
        <v>59995.930416111798</v>
      </c>
      <c r="P40">
        <f>'Historical Financial Statement'!P19</f>
        <v>66280.740066207349</v>
      </c>
      <c r="Q40" s="101">
        <f>'Historical Financial Statement'!Q19</f>
        <v>73233.310058384537</v>
      </c>
    </row>
    <row r="41" spans="2:17" x14ac:dyDescent="0.45">
      <c r="B41" s="105" t="str">
        <f>'Historical Financial Statement'!B22</f>
        <v>Tax</v>
      </c>
      <c r="C41" s="30">
        <f>'Historical Financial Statement'!C22</f>
        <v>5598</v>
      </c>
      <c r="D41" s="30">
        <f>'Historical Financial Statement'!D22</f>
        <v>4241</v>
      </c>
      <c r="E41" s="30">
        <f>'Historical Financial Statement'!E22</f>
        <v>5631</v>
      </c>
      <c r="F41" s="30">
        <f>'Historical Financial Statement'!F22</f>
        <v>5368</v>
      </c>
      <c r="G41" s="30">
        <f>'Historical Financial Statement'!G22</f>
        <v>7205</v>
      </c>
      <c r="H41" s="30">
        <f>'Historical Financial Statement'!H22</f>
        <v>7964</v>
      </c>
      <c r="I41" s="30">
        <f>'Historical Financial Statement'!I22</f>
        <v>9214</v>
      </c>
      <c r="J41" s="30">
        <f>'Historical Financial Statement'!J22</f>
        <v>9740</v>
      </c>
      <c r="K41" s="30">
        <f>'Historical Financial Statement'!K22</f>
        <v>10858</v>
      </c>
      <c r="L41" s="30">
        <f>'Historical Financial Statement'!L22</f>
        <v>10521</v>
      </c>
      <c r="M41" s="91">
        <f>M40*C43</f>
        <v>13217.314403252916</v>
      </c>
      <c r="N41" s="16">
        <f t="shared" ref="N41:Q41" si="53">N40*D43</f>
        <v>14361.073102107937</v>
      </c>
      <c r="O41" s="16">
        <f t="shared" si="53"/>
        <v>16024.434304792543</v>
      </c>
      <c r="P41" s="16">
        <f t="shared" si="53"/>
        <v>17699.554943801468</v>
      </c>
      <c r="Q41" s="106">
        <f t="shared" si="53"/>
        <v>19725.455551116716</v>
      </c>
    </row>
    <row r="42" spans="2:17" x14ac:dyDescent="0.45">
      <c r="B42" s="103" t="s">
        <v>115</v>
      </c>
      <c r="C42" s="85">
        <f>C41/C40</f>
        <v>0.28058743922610396</v>
      </c>
      <c r="D42" s="85">
        <f t="shared" ref="D42:L42" si="54">D41/D40</f>
        <v>0.20922545633941786</v>
      </c>
      <c r="E42" s="85">
        <f t="shared" si="54"/>
        <v>0.26762036024903757</v>
      </c>
      <c r="F42" s="85">
        <f t="shared" si="54"/>
        <v>0.24392238833098559</v>
      </c>
      <c r="G42" s="85">
        <f t="shared" si="54"/>
        <v>0.27057984076911523</v>
      </c>
      <c r="H42" s="85">
        <f t="shared" si="54"/>
        <v>0.26449684490202591</v>
      </c>
      <c r="I42" s="85">
        <f t="shared" si="54"/>
        <v>0.27651401476502013</v>
      </c>
      <c r="J42" s="85">
        <f t="shared" si="54"/>
        <v>0.27064577081249308</v>
      </c>
      <c r="K42" s="85">
        <f t="shared" si="54"/>
        <v>0.28871516698574773</v>
      </c>
      <c r="L42" s="85">
        <f t="shared" si="54"/>
        <v>0.26305788223527943</v>
      </c>
      <c r="M42" s="90">
        <f t="shared" ref="M42" si="55">M41/M40</f>
        <v>0.2635365164615226</v>
      </c>
      <c r="N42" s="85">
        <f t="shared" ref="N42" si="56">N41/N40</f>
        <v>0.2618314241850645</v>
      </c>
      <c r="O42" s="85">
        <f t="shared" ref="O42" si="57">O41/O40</f>
        <v>0.26709202096962914</v>
      </c>
      <c r="P42" s="85">
        <f t="shared" ref="P42" si="58">P41/P40</f>
        <v>0.26703918704168828</v>
      </c>
      <c r="Q42" s="104">
        <f t="shared" ref="Q42" si="59">Q41/Q40</f>
        <v>0.26935086691275856</v>
      </c>
    </row>
    <row r="43" spans="2:17" x14ac:dyDescent="0.45">
      <c r="B43" s="103" t="s">
        <v>94</v>
      </c>
      <c r="C43" s="85">
        <f>AVERAGE(C42:L42)</f>
        <v>0.2635365164615226</v>
      </c>
      <c r="D43" s="85">
        <f t="shared" ref="D43:G43" si="60">AVERAGE(D42:M42)</f>
        <v>0.2618314241850645</v>
      </c>
      <c r="E43" s="85">
        <f t="shared" si="60"/>
        <v>0.26709202096962914</v>
      </c>
      <c r="F43" s="85">
        <f t="shared" si="60"/>
        <v>0.26703918704168828</v>
      </c>
      <c r="G43" s="85">
        <f t="shared" si="60"/>
        <v>0.26935086691275856</v>
      </c>
      <c r="H43" s="85"/>
      <c r="I43" s="85"/>
      <c r="J43" s="85"/>
      <c r="K43" s="85"/>
      <c r="L43" s="85"/>
      <c r="M43" s="90"/>
      <c r="N43" s="85"/>
      <c r="O43" s="85"/>
      <c r="P43" s="85"/>
      <c r="Q43" s="104"/>
    </row>
    <row r="44" spans="2:17" x14ac:dyDescent="0.45">
      <c r="B44" s="98"/>
      <c r="M44" s="88"/>
      <c r="Q44" s="101"/>
    </row>
    <row r="45" spans="2:17" x14ac:dyDescent="0.45">
      <c r="B45" s="98" t="str">
        <f>'Historical Financial Statement'!B88</f>
        <v>Dividends paid</v>
      </c>
      <c r="C45">
        <f>-'Historical Financial Statement'!C88</f>
        <v>6939</v>
      </c>
      <c r="D45">
        <f>-'Historical Financial Statement'!D88</f>
        <v>7464</v>
      </c>
      <c r="E45">
        <f>-'Historical Financial Statement'!E88</f>
        <v>13705</v>
      </c>
      <c r="F45">
        <f>-'Historical Financial Statement'!F88</f>
        <v>9548</v>
      </c>
      <c r="G45">
        <f>-'Historical Financial Statement'!G88</f>
        <v>9137</v>
      </c>
      <c r="H45">
        <f>-'Historical Financial Statement'!H88</f>
        <v>12731</v>
      </c>
      <c r="I45">
        <f>-'Historical Financial Statement'!I88</f>
        <v>13653</v>
      </c>
      <c r="J45">
        <f>-'Historical Financial Statement'!J88</f>
        <v>14731</v>
      </c>
      <c r="K45">
        <f>-'Historical Financial Statement'!K88</f>
        <v>20289</v>
      </c>
      <c r="L45">
        <f>-'Historical Financial Statement'!L88</f>
        <v>18656</v>
      </c>
      <c r="M45" s="87">
        <f>C47*'Historical Financial Statement'!M23</f>
        <v>22075.249766063516</v>
      </c>
      <c r="N45" s="86">
        <f>D47*'Historical Financial Statement'!N23</f>
        <v>24660.004060797037</v>
      </c>
      <c r="O45" s="86">
        <f>E47*'Historical Financial Statement'!O23</f>
        <v>27412.688567955076</v>
      </c>
      <c r="P45" s="86">
        <f>F47*'Historical Financial Statement'!P23</f>
        <v>28994.500070339385</v>
      </c>
      <c r="Q45" s="99">
        <f>G47*'Historical Financial Statement'!Q23</f>
        <v>32057.894376108216</v>
      </c>
    </row>
    <row r="46" spans="2:17" x14ac:dyDescent="0.45">
      <c r="B46" s="103" t="s">
        <v>120</v>
      </c>
      <c r="C46" s="85">
        <f>C45/'Historical Financial Statement'!C23</f>
        <v>0.48345293666829237</v>
      </c>
      <c r="D46" s="85">
        <f>D45/'Historical Financial Statement'!D23</f>
        <v>0.46565599850271383</v>
      </c>
      <c r="E46" s="85">
        <f>E45/'Historical Financial Statement'!E23</f>
        <v>0.88935756002595712</v>
      </c>
      <c r="F46" s="85">
        <f>F45/'Historical Financial Statement'!F23</f>
        <v>0.57383256205300803</v>
      </c>
      <c r="G46" s="85">
        <f>G45/'Historical Financial Statement'!G23</f>
        <v>0.47042166503629718</v>
      </c>
      <c r="H46" s="85">
        <f>H45/'Historical Financial Statement'!H23</f>
        <v>0.57486679310033417</v>
      </c>
      <c r="I46" s="85">
        <f>I45/'Historical Financial Statement'!I23</f>
        <v>0.56632653061224492</v>
      </c>
      <c r="J46" s="85">
        <f>J45/'Historical Financial Statement'!J23</f>
        <v>0.56122371228284063</v>
      </c>
      <c r="K46" s="85">
        <f>K45/'Historical Financial Statement'!K23</f>
        <v>0.75846728971962618</v>
      </c>
      <c r="L46" s="85">
        <f>L45/'Historical Financial Statement'!L23</f>
        <v>0.63296464680735565</v>
      </c>
      <c r="M46" s="90">
        <f>M45/'Historical Financial Statement'!M23</f>
        <v>0.59765696948086711</v>
      </c>
      <c r="N46" s="85">
        <f>N45/'Historical Financial Statement'!N23</f>
        <v>0.60907737276212448</v>
      </c>
      <c r="O46" s="85">
        <f>O45/'Historical Financial Statement'!O23</f>
        <v>0.62341951018806552</v>
      </c>
      <c r="P46" s="85">
        <f>P45/'Historical Financial Statement'!P23</f>
        <v>0.59682570520427636</v>
      </c>
      <c r="Q46" s="104">
        <f>Q45/'Historical Financial Statement'!Q23</f>
        <v>0.59912501951940311</v>
      </c>
    </row>
    <row r="47" spans="2:17" x14ac:dyDescent="0.45">
      <c r="B47" s="103" t="s">
        <v>121</v>
      </c>
      <c r="C47" s="85">
        <f>AVERAGE(C46:L46)</f>
        <v>0.59765696948086711</v>
      </c>
      <c r="D47" s="85">
        <f t="shared" ref="D47:G47" si="61">AVERAGE(D46:M46)</f>
        <v>0.60907737276212448</v>
      </c>
      <c r="E47" s="85">
        <f t="shared" si="61"/>
        <v>0.62341951018806552</v>
      </c>
      <c r="F47" s="85">
        <f t="shared" si="61"/>
        <v>0.59682570520427636</v>
      </c>
      <c r="G47" s="85">
        <f t="shared" si="61"/>
        <v>0.59912501951940311</v>
      </c>
      <c r="H47" s="85"/>
      <c r="I47" s="85"/>
      <c r="J47" s="85"/>
      <c r="K47" s="85"/>
      <c r="L47" s="85"/>
      <c r="M47" s="90"/>
      <c r="N47" s="85"/>
      <c r="O47" s="85"/>
      <c r="P47" s="85"/>
      <c r="Q47" s="104"/>
    </row>
    <row r="48" spans="2:17" x14ac:dyDescent="0.45">
      <c r="B48" s="98"/>
      <c r="M48" s="88"/>
      <c r="Q48" s="101"/>
    </row>
    <row r="49" spans="2:17" x14ac:dyDescent="0.45">
      <c r="B49" s="105" t="str">
        <f>'Historical Financial Statement'!B35</f>
        <v>Other Liabilities</v>
      </c>
      <c r="C49" s="30">
        <f>'Historical Financial Statement'!C35</f>
        <v>13799</v>
      </c>
      <c r="D49" s="30">
        <f>'Historical Financial Statement'!D35</f>
        <v>13732</v>
      </c>
      <c r="E49" s="30">
        <f>'Historical Financial Statement'!E35</f>
        <v>17463</v>
      </c>
      <c r="F49" s="30">
        <f>'Historical Financial Statement'!F35</f>
        <v>18865</v>
      </c>
      <c r="G49" s="30">
        <f>'Historical Financial Statement'!G35</f>
        <v>23190</v>
      </c>
      <c r="H49" s="30">
        <f>'Historical Financial Statement'!H35</f>
        <v>31771</v>
      </c>
      <c r="I49" s="30">
        <f>'Historical Financial Statement'!I35</f>
        <v>37025</v>
      </c>
      <c r="J49" s="30">
        <f>'Historical Financial Statement'!J35</f>
        <v>35589</v>
      </c>
      <c r="K49" s="30">
        <f>'Historical Financial Statement'!K35</f>
        <v>39586</v>
      </c>
      <c r="L49" s="30">
        <f>'Historical Financial Statement'!L35</f>
        <v>47516</v>
      </c>
      <c r="M49" s="91">
        <f>M3*C51</f>
        <v>45222.947154369402</v>
      </c>
      <c r="N49" s="16">
        <f t="shared" ref="N49:Q49" si="62">N3*D51</f>
        <v>50390.530713080931</v>
      </c>
      <c r="O49" s="16">
        <f t="shared" si="62"/>
        <v>56369.408942016307</v>
      </c>
      <c r="P49" s="16">
        <f t="shared" si="62"/>
        <v>62708.562196332139</v>
      </c>
      <c r="Q49" s="106">
        <f t="shared" si="62"/>
        <v>69925.344656930247</v>
      </c>
    </row>
    <row r="50" spans="2:17" x14ac:dyDescent="0.45">
      <c r="B50" s="103" t="s">
        <v>123</v>
      </c>
      <c r="C50" s="85">
        <f>C49/C3</f>
        <v>0.20149231937386836</v>
      </c>
      <c r="D50" s="85">
        <f t="shared" ref="D50:L50" si="63">D49/D3</f>
        <v>0.19471937835001843</v>
      </c>
      <c r="E50" s="85">
        <f t="shared" si="63"/>
        <v>0.21122467493196251</v>
      </c>
      <c r="F50" s="85">
        <f t="shared" si="63"/>
        <v>0.20778491260146931</v>
      </c>
      <c r="G50" s="85">
        <f t="shared" si="63"/>
        <v>0.23081057409029382</v>
      </c>
      <c r="H50" s="85">
        <f t="shared" si="63"/>
        <v>0.26118660648958819</v>
      </c>
      <c r="I50" s="85">
        <f t="shared" si="63"/>
        <v>0.25227060579012994</v>
      </c>
      <c r="J50" s="85">
        <f t="shared" si="63"/>
        <v>0.23159367475759746</v>
      </c>
      <c r="K50" s="85">
        <f t="shared" si="63"/>
        <v>0.24287379593840114</v>
      </c>
      <c r="L50" s="85">
        <f t="shared" si="63"/>
        <v>0.26597257206828995</v>
      </c>
      <c r="M50" s="90">
        <f t="shared" ref="M50" si="64">M49/M3</f>
        <v>0.22999291143916195</v>
      </c>
      <c r="N50" s="85">
        <f t="shared" ref="N50" si="65">N49/N3</f>
        <v>0.23284297064569129</v>
      </c>
      <c r="O50" s="85">
        <f t="shared" ref="O50" si="66">O49/O3</f>
        <v>0.23665532987525856</v>
      </c>
      <c r="P50" s="85">
        <f t="shared" ref="P50" si="67">P49/P3</f>
        <v>0.23919839536958815</v>
      </c>
      <c r="Q50" s="104">
        <f t="shared" ref="Q50" si="68">Q49/Q3</f>
        <v>0.24233974364640001</v>
      </c>
    </row>
    <row r="51" spans="2:17" x14ac:dyDescent="0.45">
      <c r="B51" s="103" t="s">
        <v>94</v>
      </c>
      <c r="C51" s="85">
        <f>AVERAGE(C50:L50)</f>
        <v>0.22999291143916195</v>
      </c>
      <c r="D51" s="85">
        <f t="shared" ref="D51:G51" si="69">AVERAGE(D50:M50)</f>
        <v>0.23284297064569129</v>
      </c>
      <c r="E51" s="85">
        <f t="shared" si="69"/>
        <v>0.23665532987525856</v>
      </c>
      <c r="F51" s="85">
        <f t="shared" si="69"/>
        <v>0.23919839536958815</v>
      </c>
      <c r="G51" s="85">
        <f t="shared" si="69"/>
        <v>0.24233974364640004</v>
      </c>
      <c r="H51" s="85"/>
      <c r="I51" s="85"/>
      <c r="J51" s="85"/>
      <c r="K51" s="85"/>
      <c r="L51" s="85"/>
      <c r="M51" s="90"/>
      <c r="N51" s="85"/>
      <c r="O51" s="85"/>
      <c r="P51" s="85"/>
      <c r="Q51" s="104"/>
    </row>
    <row r="52" spans="2:17" x14ac:dyDescent="0.45">
      <c r="B52" s="98"/>
      <c r="M52" s="88"/>
      <c r="Q52" s="101"/>
    </row>
    <row r="53" spans="2:17" x14ac:dyDescent="0.45">
      <c r="B53" s="98"/>
      <c r="M53" s="88"/>
      <c r="Q53" s="101"/>
    </row>
    <row r="54" spans="2:17" x14ac:dyDescent="0.45">
      <c r="B54" s="98" t="str">
        <f>'Historical Financial Statement'!B39</f>
        <v>Trade Payables</v>
      </c>
      <c r="C54">
        <f>'Historical Financial Statement'!C39</f>
        <v>367</v>
      </c>
      <c r="D54">
        <f>'Historical Financial Statement'!D39</f>
        <v>694</v>
      </c>
      <c r="E54">
        <f>'Historical Financial Statement'!E39</f>
        <v>1655</v>
      </c>
      <c r="F54">
        <f>'Historical Financial Statement'!F39</f>
        <v>2852</v>
      </c>
      <c r="G54">
        <f>'Historical Financial Statement'!G39</f>
        <v>2645</v>
      </c>
      <c r="H54">
        <f>'Historical Financial Statement'!H39</f>
        <v>4134</v>
      </c>
      <c r="I54">
        <f>'Historical Financial Statement'!I39</f>
        <v>3865</v>
      </c>
      <c r="J54">
        <f>'Historical Financial Statement'!J39</f>
        <v>3956</v>
      </c>
      <c r="K54">
        <f>'Historical Financial Statement'!K39</f>
        <v>4164</v>
      </c>
      <c r="L54">
        <f>'Historical Financial Statement'!L39</f>
        <v>4744</v>
      </c>
      <c r="M54" s="89">
        <f>(C56*M6)/365</f>
        <v>4506.0731871463977</v>
      </c>
      <c r="N54" s="12">
        <f t="shared" ref="N54:Q54" si="70">(D56*N6)/365</f>
        <v>5362.9041211939539</v>
      </c>
      <c r="O54" s="12">
        <f t="shared" si="70"/>
        <v>6278.4267452392123</v>
      </c>
      <c r="P54" s="12">
        <f t="shared" si="70"/>
        <v>7082.7691081657367</v>
      </c>
      <c r="Q54" s="102">
        <f t="shared" si="70"/>
        <v>7664.9530914650022</v>
      </c>
    </row>
    <row r="55" spans="2:17" x14ac:dyDescent="0.45">
      <c r="B55" s="103" t="s">
        <v>124</v>
      </c>
      <c r="C55" s="84">
        <f>365/(C6/C54)</f>
        <v>3.0028693761348606</v>
      </c>
      <c r="D55" s="84">
        <f t="shared" ref="D55:L55" si="71">365/(D6/D54)</f>
        <v>5.4598555878866257</v>
      </c>
      <c r="E55" s="84">
        <f t="shared" si="71"/>
        <v>10.89483461385853</v>
      </c>
      <c r="F55" s="84">
        <f t="shared" si="71"/>
        <v>16.733322616942615</v>
      </c>
      <c r="G55" s="84">
        <f t="shared" si="71"/>
        <v>14.095853409256826</v>
      </c>
      <c r="H55" s="84">
        <f t="shared" si="71"/>
        <v>17.789764085876985</v>
      </c>
      <c r="I55" s="84">
        <f t="shared" si="71"/>
        <v>13.450848588863463</v>
      </c>
      <c r="J55" s="84">
        <f t="shared" si="71"/>
        <v>13.123148232300281</v>
      </c>
      <c r="K55" s="84">
        <f t="shared" si="71"/>
        <v>13.036496976454947</v>
      </c>
      <c r="L55" s="84">
        <f t="shared" si="71"/>
        <v>13.500705614508369</v>
      </c>
      <c r="M55" s="95">
        <f t="shared" ref="M55" si="72">365/(M6/M54)</f>
        <v>12.108769910208348</v>
      </c>
      <c r="N55" s="84">
        <f t="shared" ref="N55" si="73">365/(N6/N54)</f>
        <v>13.019359963615699</v>
      </c>
      <c r="O55" s="84">
        <f t="shared" ref="O55" si="74">365/(O6/O54)</f>
        <v>13.775310401188609</v>
      </c>
      <c r="P55" s="84">
        <f t="shared" ref="P55" si="75">365/(P6/P54)</f>
        <v>14.063357979921612</v>
      </c>
      <c r="Q55" s="111">
        <f t="shared" ref="Q55" si="76">365/(Q6/Q54)</f>
        <v>13.796361516219516</v>
      </c>
    </row>
    <row r="56" spans="2:17" x14ac:dyDescent="0.45">
      <c r="B56" s="103" t="s">
        <v>125</v>
      </c>
      <c r="C56" s="84">
        <f>AVERAGE(C55:L55)</f>
        <v>12.108769910208348</v>
      </c>
      <c r="D56" s="84">
        <f t="shared" ref="D56:G56" si="77">AVERAGE(D55:M55)</f>
        <v>13.019359963615699</v>
      </c>
      <c r="E56" s="84">
        <f t="shared" si="77"/>
        <v>13.775310401188609</v>
      </c>
      <c r="F56" s="84">
        <f t="shared" si="77"/>
        <v>14.063357979921614</v>
      </c>
      <c r="G56" s="84">
        <f t="shared" si="77"/>
        <v>13.796361516219514</v>
      </c>
      <c r="H56" s="84"/>
      <c r="I56" s="84"/>
      <c r="J56" s="84"/>
      <c r="K56" s="84"/>
      <c r="L56" s="84"/>
      <c r="M56" s="88"/>
      <c r="Q56" s="101"/>
    </row>
    <row r="57" spans="2:17" x14ac:dyDescent="0.45">
      <c r="B57" s="98"/>
      <c r="M57" s="88"/>
      <c r="Q57" s="101"/>
    </row>
    <row r="58" spans="2:17" x14ac:dyDescent="0.45">
      <c r="B58" s="105" t="str">
        <f>'Historical Financial Statement'!B55</f>
        <v>Receivables</v>
      </c>
      <c r="C58" s="30">
        <f>'Historical Financial Statement'!C55</f>
        <v>12322</v>
      </c>
      <c r="D58" s="30">
        <f>'Historical Financial Statement'!D55</f>
        <v>13142</v>
      </c>
      <c r="E58" s="30">
        <f>'Historical Financial Statement'!E55</f>
        <v>14827</v>
      </c>
      <c r="F58" s="30">
        <f>'Historical Financial Statement'!F55</f>
        <v>18487</v>
      </c>
      <c r="G58" s="30">
        <f>'Historical Financial Statement'!G55</f>
        <v>19294</v>
      </c>
      <c r="H58" s="30">
        <f>'Historical Financial Statement'!H55</f>
        <v>22698</v>
      </c>
      <c r="I58" s="30">
        <f>'Historical Financial Statement'!I55</f>
        <v>25424</v>
      </c>
      <c r="J58" s="30">
        <f>'Historical Financial Statement'!J55</f>
        <v>30193</v>
      </c>
      <c r="K58" s="30">
        <f>'Historical Financial Statement'!K55</f>
        <v>31158</v>
      </c>
      <c r="L58" s="30">
        <f>'Historical Financial Statement'!L55</f>
        <v>35234</v>
      </c>
      <c r="M58" s="91">
        <f>(C60*M3)/365</f>
        <v>37083.325340990123</v>
      </c>
      <c r="N58" s="16">
        <f t="shared" ref="N58:Q58" si="78">(D60*N3)/365</f>
        <v>41002.688880705457</v>
      </c>
      <c r="O58" s="16">
        <f t="shared" si="78"/>
        <v>45202.88921012669</v>
      </c>
      <c r="P58" s="16">
        <f t="shared" si="78"/>
        <v>50025.20556651966</v>
      </c>
      <c r="Q58" s="106">
        <f t="shared" si="78"/>
        <v>54689.824088129943</v>
      </c>
    </row>
    <row r="59" spans="2:17" x14ac:dyDescent="0.45">
      <c r="B59" s="103" t="s">
        <v>124</v>
      </c>
      <c r="C59" s="62">
        <f>365/(C3/C58)</f>
        <v>65.672711874306415</v>
      </c>
      <c r="D59" s="62">
        <f t="shared" ref="D59:L59" si="79">365/(D3/D58)</f>
        <v>68.018916082924477</v>
      </c>
      <c r="E59" s="62">
        <f t="shared" si="79"/>
        <v>65.459389174478375</v>
      </c>
      <c r="F59" s="62">
        <f t="shared" si="79"/>
        <v>74.321849081957467</v>
      </c>
      <c r="G59" s="62">
        <f t="shared" si="79"/>
        <v>70.092264511505689</v>
      </c>
      <c r="H59" s="62">
        <f t="shared" si="79"/>
        <v>68.108368066688044</v>
      </c>
      <c r="I59" s="62">
        <f t="shared" si="79"/>
        <v>63.227837320378555</v>
      </c>
      <c r="J59" s="62">
        <f t="shared" si="79"/>
        <v>71.715006182078483</v>
      </c>
      <c r="K59" s="62">
        <f t="shared" si="79"/>
        <v>69.775262286029815</v>
      </c>
      <c r="L59" s="62">
        <f t="shared" si="79"/>
        <v>71.986621886369988</v>
      </c>
      <c r="M59" s="93">
        <f t="shared" ref="M59" si="80">365/(M3/M58)</f>
        <v>68.837822646671739</v>
      </c>
      <c r="N59" s="62">
        <f t="shared" ref="N59" si="81">365/(N3/N58)</f>
        <v>69.154333723908252</v>
      </c>
      <c r="O59" s="62">
        <f t="shared" ref="O59" si="82">365/(O3/O58)</f>
        <v>69.267875488006652</v>
      </c>
      <c r="P59" s="62">
        <f t="shared" ref="P59" si="83">365/(P3/P58)</f>
        <v>69.648724119359457</v>
      </c>
      <c r="Q59" s="108">
        <f t="shared" ref="Q59" si="84">365/(Q3/Q58)</f>
        <v>69.181411623099663</v>
      </c>
    </row>
    <row r="60" spans="2:17" x14ac:dyDescent="0.45">
      <c r="B60" s="103" t="s">
        <v>125</v>
      </c>
      <c r="C60" s="62">
        <f>AVERAGE(C59:L59)</f>
        <v>68.837822646671739</v>
      </c>
      <c r="D60" s="62">
        <f t="shared" ref="D60:G60" si="85">AVERAGE(D59:M59)</f>
        <v>69.154333723908252</v>
      </c>
      <c r="E60" s="62">
        <f t="shared" si="85"/>
        <v>69.267875488006638</v>
      </c>
      <c r="F60" s="62">
        <f t="shared" si="85"/>
        <v>69.648724119359471</v>
      </c>
      <c r="G60" s="62">
        <f t="shared" si="85"/>
        <v>69.181411623099677</v>
      </c>
      <c r="H60" s="62"/>
      <c r="I60" s="62"/>
      <c r="J60" s="62"/>
      <c r="K60" s="62"/>
      <c r="L60" s="62"/>
      <c r="M60" s="93"/>
      <c r="N60" s="62"/>
      <c r="O60" s="62"/>
      <c r="P60" s="62"/>
      <c r="Q60" s="108"/>
    </row>
    <row r="61" spans="2:17" x14ac:dyDescent="0.45">
      <c r="B61" s="98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93"/>
      <c r="N61" s="62"/>
      <c r="O61" s="62"/>
      <c r="P61" s="62"/>
      <c r="Q61" s="108"/>
    </row>
    <row r="62" spans="2:17" x14ac:dyDescent="0.45">
      <c r="B62" s="105" t="str">
        <f>'Historical Financial Statement'!B50</f>
        <v>Investments</v>
      </c>
      <c r="C62" s="30">
        <f>'Historical Financial Statement'!C50</f>
        <v>16423</v>
      </c>
      <c r="D62" s="30">
        <f>'Historical Financial Statement'!D50</f>
        <v>12163</v>
      </c>
      <c r="E62" s="30">
        <f>'Historical Financial Statement'!E50</f>
        <v>11261</v>
      </c>
      <c r="F62" s="30">
        <f>'Historical Financial Statement'!F50</f>
        <v>8792</v>
      </c>
      <c r="G62" s="30">
        <f>'Historical Financial Statement'!G50</f>
        <v>14205</v>
      </c>
      <c r="H62" s="30">
        <f>'Historical Financial Statement'!H50</f>
        <v>20324</v>
      </c>
      <c r="I62" s="30">
        <f>'Historical Financial Statement'!I50</f>
        <v>19478</v>
      </c>
      <c r="J62" s="30">
        <f>'Historical Financial Statement'!J50</f>
        <v>24623</v>
      </c>
      <c r="K62" s="30">
        <f>'Historical Financial Statement'!K50</f>
        <v>23541</v>
      </c>
      <c r="L62" s="30">
        <f>'Historical Financial Statement'!L50</f>
        <v>21880</v>
      </c>
      <c r="M62" s="91">
        <f>M3*C64</f>
        <v>29762.378312369125</v>
      </c>
      <c r="N62" s="16">
        <f t="shared" ref="N62:Q62" si="86">N3*D64</f>
        <v>30843.324017528234</v>
      </c>
      <c r="O62" s="16">
        <f t="shared" si="86"/>
        <v>33233.678783140669</v>
      </c>
      <c r="P62" s="16">
        <f t="shared" si="86"/>
        <v>36664.938566731078</v>
      </c>
      <c r="Q62" s="106">
        <f t="shared" si="86"/>
        <v>41595.805925508736</v>
      </c>
    </row>
    <row r="63" spans="2:17" x14ac:dyDescent="0.45">
      <c r="B63" s="103" t="s">
        <v>126</v>
      </c>
      <c r="C63" s="30">
        <f>C62/C3</f>
        <v>0.23980783832720051</v>
      </c>
      <c r="D63" s="30">
        <f t="shared" ref="D63:Q63" si="87">D62/D3</f>
        <v>0.17247100195683615</v>
      </c>
      <c r="E63" s="30">
        <f t="shared" si="87"/>
        <v>0.13620804354399757</v>
      </c>
      <c r="F63" s="30">
        <f t="shared" si="87"/>
        <v>9.6837792292187558E-2</v>
      </c>
      <c r="G63" s="30">
        <f t="shared" si="87"/>
        <v>0.14138267377975952</v>
      </c>
      <c r="H63" s="30">
        <f t="shared" si="87"/>
        <v>0.16708182274068775</v>
      </c>
      <c r="I63" s="30">
        <f t="shared" si="87"/>
        <v>0.13271375717974748</v>
      </c>
      <c r="J63" s="30">
        <f t="shared" si="87"/>
        <v>0.16023296674692522</v>
      </c>
      <c r="K63" s="30">
        <f t="shared" si="87"/>
        <v>0.14443217375299097</v>
      </c>
      <c r="L63" s="30">
        <f t="shared" si="87"/>
        <v>0.12247411139098796</v>
      </c>
      <c r="M63" s="94">
        <f t="shared" si="87"/>
        <v>0.15136421817113208</v>
      </c>
      <c r="N63" s="30">
        <f t="shared" si="87"/>
        <v>0.14251985615552526</v>
      </c>
      <c r="O63" s="30">
        <f t="shared" si="87"/>
        <v>0.13952474157539413</v>
      </c>
      <c r="P63" s="30">
        <f t="shared" si="87"/>
        <v>0.1398564113785338</v>
      </c>
      <c r="Q63" s="109">
        <f t="shared" si="87"/>
        <v>0.14415827328716843</v>
      </c>
    </row>
    <row r="64" spans="2:17" x14ac:dyDescent="0.45">
      <c r="B64" s="103" t="s">
        <v>127</v>
      </c>
      <c r="C64" s="30">
        <f>AVERAGE(C63:L63)</f>
        <v>0.15136421817113208</v>
      </c>
      <c r="D64" s="30">
        <f t="shared" ref="D64:G64" si="88">AVERAGE(D63:M63)</f>
        <v>0.14251985615552526</v>
      </c>
      <c r="E64" s="30">
        <f t="shared" si="88"/>
        <v>0.13952474157539413</v>
      </c>
      <c r="F64" s="30">
        <f t="shared" si="88"/>
        <v>0.1398564113785338</v>
      </c>
      <c r="G64" s="30">
        <f t="shared" si="88"/>
        <v>0.14415827328716843</v>
      </c>
      <c r="M64" s="88"/>
      <c r="Q64" s="101"/>
    </row>
    <row r="65" spans="2:18" x14ac:dyDescent="0.45">
      <c r="B65" s="98"/>
      <c r="M65" s="88"/>
      <c r="Q65" s="101"/>
    </row>
    <row r="66" spans="2:18" x14ac:dyDescent="0.45">
      <c r="B66" s="105" t="str">
        <f>'Historical Financial Statement'!B49</f>
        <v>Capital Work in Progress</v>
      </c>
      <c r="C66" s="30">
        <f>'Historical Financial Statement'!C49</f>
        <v>1365</v>
      </c>
      <c r="D66" s="30">
        <f>'Historical Financial Statement'!D49</f>
        <v>1606</v>
      </c>
      <c r="E66" s="30">
        <f>'Historical Financial Statement'!E49</f>
        <v>1388</v>
      </c>
      <c r="F66" s="30">
        <f>'Historical Financial Statement'!F49</f>
        <v>954</v>
      </c>
      <c r="G66" s="30">
        <f>'Historical Financial Statement'!G49</f>
        <v>922</v>
      </c>
      <c r="H66" s="30">
        <f>'Historical Financial Statement'!H49</f>
        <v>416</v>
      </c>
      <c r="I66" s="30">
        <f>'Historical Financial Statement'!I49</f>
        <v>288</v>
      </c>
      <c r="J66" s="30">
        <f>'Historical Financial Statement'!J49</f>
        <v>293</v>
      </c>
      <c r="K66" s="30">
        <f>'Historical Financial Statement'!K49</f>
        <v>814</v>
      </c>
      <c r="L66" s="30">
        <f>'Historical Financial Statement'!L49</f>
        <v>526</v>
      </c>
      <c r="M66" s="91">
        <f>M18*C68</f>
        <v>1572.2949823394167</v>
      </c>
      <c r="N66" s="16">
        <f t="shared" ref="N66:Q66" si="89">N18*D68</f>
        <v>1402.9593551841422</v>
      </c>
      <c r="O66" s="16">
        <f t="shared" si="89"/>
        <v>1123.5487317004804</v>
      </c>
      <c r="P66" s="16">
        <f t="shared" si="89"/>
        <v>949.98759674896974</v>
      </c>
      <c r="Q66" s="106">
        <f t="shared" si="89"/>
        <v>918.26848068700042</v>
      </c>
    </row>
    <row r="67" spans="2:18" x14ac:dyDescent="0.45">
      <c r="B67" s="103" t="s">
        <v>128</v>
      </c>
      <c r="C67" s="85">
        <f>C66/C18</f>
        <v>9.6269130404118761E-2</v>
      </c>
      <c r="D67" s="85">
        <f t="shared" ref="D67:Q67" si="90">D66/D18</f>
        <v>0.12772387466200094</v>
      </c>
      <c r="E67" s="85">
        <f t="shared" si="90"/>
        <v>8.8351368555060469E-2</v>
      </c>
      <c r="F67" s="85">
        <f t="shared" si="90"/>
        <v>4.0102568413972847E-2</v>
      </c>
      <c r="G67" s="85">
        <f t="shared" si="90"/>
        <v>3.6149774554009015E-2</v>
      </c>
      <c r="H67" s="85">
        <f t="shared" si="90"/>
        <v>1.6124031007751938E-2</v>
      </c>
      <c r="I67" s="85">
        <f t="shared" si="90"/>
        <v>9.8545765611633869E-3</v>
      </c>
      <c r="J67" s="85">
        <f t="shared" si="90"/>
        <v>1.0607486785895301E-2</v>
      </c>
      <c r="K67" s="85">
        <f t="shared" si="90"/>
        <v>2.6291140467039179E-2</v>
      </c>
      <c r="L67" s="85">
        <f t="shared" si="90"/>
        <v>1.5575954989635772E-2</v>
      </c>
      <c r="M67" s="90">
        <f t="shared" si="90"/>
        <v>4.6704990640064767E-2</v>
      </c>
      <c r="N67" s="85">
        <f t="shared" si="90"/>
        <v>4.1748576663659366E-2</v>
      </c>
      <c r="O67" s="85">
        <f t="shared" si="90"/>
        <v>3.3151046863825209E-2</v>
      </c>
      <c r="P67" s="85">
        <f t="shared" si="90"/>
        <v>2.7631014694701677E-2</v>
      </c>
      <c r="Q67" s="104">
        <f t="shared" si="90"/>
        <v>2.638385932277456E-2</v>
      </c>
    </row>
    <row r="68" spans="2:18" x14ac:dyDescent="0.45">
      <c r="B68" s="103" t="s">
        <v>129</v>
      </c>
      <c r="C68" s="85">
        <f>AVERAGE(C67:L67)</f>
        <v>4.6704990640064767E-2</v>
      </c>
      <c r="D68" s="85">
        <f t="shared" ref="D68:G68" si="91">AVERAGE(D67:M67)</f>
        <v>4.1748576663659366E-2</v>
      </c>
      <c r="E68" s="85">
        <f t="shared" si="91"/>
        <v>3.3151046863825209E-2</v>
      </c>
      <c r="F68" s="85">
        <f t="shared" si="91"/>
        <v>2.7631014694701677E-2</v>
      </c>
      <c r="G68" s="85">
        <f t="shared" si="91"/>
        <v>2.638385932277456E-2</v>
      </c>
      <c r="H68" s="85"/>
      <c r="I68" s="85"/>
      <c r="J68" s="85"/>
      <c r="K68" s="85"/>
      <c r="L68" s="85"/>
      <c r="M68" s="90"/>
      <c r="N68" s="85"/>
      <c r="O68" s="85"/>
      <c r="P68" s="85"/>
      <c r="Q68" s="104"/>
    </row>
    <row r="69" spans="2:18" x14ac:dyDescent="0.45">
      <c r="B69" s="98"/>
      <c r="M69" s="88"/>
      <c r="Q69" s="101"/>
    </row>
    <row r="70" spans="2:18" x14ac:dyDescent="0.45">
      <c r="B70" s="105" t="str">
        <f>'Historical Financial Statement'!B51</f>
        <v>Other Assets</v>
      </c>
      <c r="C70" s="30">
        <f>'Historical Financial Statement'!C51</f>
        <v>16234</v>
      </c>
      <c r="D70" s="30">
        <f>'Historical Financial Statement'!D51</f>
        <v>20046</v>
      </c>
      <c r="E70" s="30">
        <f>'Historical Financial Statement'!E51</f>
        <v>21312</v>
      </c>
      <c r="F70" s="30">
        <f>'Historical Financial Statement'!F51</f>
        <v>21129</v>
      </c>
      <c r="G70" s="30">
        <f>'Historical Financial Statement'!G51</f>
        <v>22871</v>
      </c>
      <c r="H70" s="30">
        <f>'Historical Financial Statement'!H51</f>
        <v>30019</v>
      </c>
      <c r="I70" s="30">
        <f>'Historical Financial Statement'!I51</f>
        <v>38008</v>
      </c>
      <c r="J70" s="30">
        <f>'Historical Financial Statement'!J51</f>
        <v>38503</v>
      </c>
      <c r="K70" s="30">
        <f>'Historical Financial Statement'!K51</f>
        <v>36866</v>
      </c>
      <c r="L70" s="30">
        <f>'Historical Financial Statement'!L51</f>
        <v>40677</v>
      </c>
      <c r="M70" s="91">
        <f>M3*C72</f>
        <v>48166.322896042671</v>
      </c>
      <c r="N70" s="16">
        <f t="shared" ref="N70:Q70" si="92">N3*D72</f>
        <v>53184.57847200679</v>
      </c>
      <c r="O70" s="16">
        <f t="shared" si="92"/>
        <v>57619.55442849228</v>
      </c>
      <c r="P70" s="16">
        <f t="shared" si="92"/>
        <v>63001.592078243113</v>
      </c>
      <c r="Q70" s="106">
        <f t="shared" si="92"/>
        <v>69560.59271978309</v>
      </c>
    </row>
    <row r="71" spans="2:18" x14ac:dyDescent="0.45">
      <c r="B71" s="103" t="s">
        <v>130</v>
      </c>
      <c r="C71" s="59">
        <f>C70/C3</f>
        <v>0.23704806962210151</v>
      </c>
      <c r="D71" s="59">
        <f t="shared" ref="D71:L71" si="93">D70/D3</f>
        <v>0.2842517228666232</v>
      </c>
      <c r="E71" s="59">
        <f t="shared" si="93"/>
        <v>0.25778046567886304</v>
      </c>
      <c r="F71" s="59">
        <f t="shared" si="93"/>
        <v>0.23272130497516275</v>
      </c>
      <c r="G71" s="59">
        <f t="shared" si="93"/>
        <v>0.22763556015606337</v>
      </c>
      <c r="H71" s="59">
        <f t="shared" si="93"/>
        <v>0.24678356804038112</v>
      </c>
      <c r="I71" s="59">
        <f t="shared" si="93"/>
        <v>0.25896829668794757</v>
      </c>
      <c r="J71" s="59">
        <f t="shared" si="93"/>
        <v>0.25055638706318734</v>
      </c>
      <c r="K71" s="59">
        <f t="shared" si="93"/>
        <v>0.2261856555616909</v>
      </c>
      <c r="L71" s="59">
        <f t="shared" si="93"/>
        <v>0.22769101595298069</v>
      </c>
      <c r="M71" s="96">
        <f t="shared" ref="M71" si="94">M70/M3</f>
        <v>0.24496220466050014</v>
      </c>
      <c r="N71" s="59">
        <f t="shared" ref="N71" si="95">N70/N3</f>
        <v>0.24575361816434008</v>
      </c>
      <c r="O71" s="59">
        <f t="shared" ref="O71" si="96">O70/O3</f>
        <v>0.24190380769411177</v>
      </c>
      <c r="P71" s="59">
        <f t="shared" ref="P71" si="97">P70/P3</f>
        <v>0.2403161418956366</v>
      </c>
      <c r="Q71" s="112">
        <f t="shared" ref="Q71" si="98">Q70/Q3</f>
        <v>0.24107562558768397</v>
      </c>
      <c r="R71" s="30"/>
    </row>
    <row r="72" spans="2:18" x14ac:dyDescent="0.45">
      <c r="B72" s="103" t="s">
        <v>131</v>
      </c>
      <c r="C72" s="59">
        <f>AVERAGE(C71:L71)</f>
        <v>0.24496220466050014</v>
      </c>
      <c r="D72" s="59">
        <f t="shared" ref="D72:G72" si="99">AVERAGE(D71:M71)</f>
        <v>0.24575361816434005</v>
      </c>
      <c r="E72" s="59">
        <f t="shared" si="99"/>
        <v>0.24190380769411174</v>
      </c>
      <c r="F72" s="59">
        <f t="shared" si="99"/>
        <v>0.2403161418956366</v>
      </c>
      <c r="G72" s="59">
        <f t="shared" si="99"/>
        <v>0.24107562558768394</v>
      </c>
      <c r="H72" s="59"/>
      <c r="I72" s="59"/>
      <c r="J72" s="59"/>
      <c r="K72" s="59"/>
      <c r="L72" s="59"/>
      <c r="M72" s="96"/>
      <c r="N72" s="59"/>
      <c r="O72" s="59"/>
      <c r="P72" s="59"/>
      <c r="Q72" s="112"/>
    </row>
    <row r="73" spans="2:18" x14ac:dyDescent="0.45">
      <c r="B73" s="98"/>
      <c r="M73" s="88"/>
      <c r="Q73" s="101"/>
    </row>
    <row r="74" spans="2:18" x14ac:dyDescent="0.45">
      <c r="B74" s="98"/>
      <c r="M74" s="91"/>
      <c r="N74" s="16"/>
      <c r="O74" s="16"/>
      <c r="P74" s="16"/>
      <c r="Q74" s="106"/>
    </row>
    <row r="75" spans="2:18" x14ac:dyDescent="0.45">
      <c r="B75" s="103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96"/>
      <c r="N75" s="59"/>
      <c r="O75" s="59"/>
      <c r="P75" s="59"/>
      <c r="Q75" s="112"/>
    </row>
    <row r="76" spans="2:18" ht="14.65" thickBot="1" x14ac:dyDescent="0.5">
      <c r="B76" s="113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97"/>
      <c r="N76" s="114"/>
      <c r="O76" s="114"/>
      <c r="P76" s="114"/>
      <c r="Q76" s="115"/>
    </row>
    <row r="77" spans="2:18" ht="14.65" thickTop="1" x14ac:dyDescent="0.45"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</row>
    <row r="78" spans="2:18" x14ac:dyDescent="0.45">
      <c r="M78" s="84"/>
      <c r="N78" s="84"/>
      <c r="O78" s="84"/>
      <c r="P78" s="84"/>
      <c r="Q78" s="84"/>
    </row>
    <row r="79" spans="2:18" x14ac:dyDescent="0.45"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</row>
    <row r="80" spans="2:18" x14ac:dyDescent="0.45">
      <c r="C80" s="59"/>
      <c r="D80" s="59"/>
      <c r="E80" s="59"/>
      <c r="F80" s="59"/>
      <c r="G80" s="59"/>
    </row>
    <row r="83" spans="3:17" x14ac:dyDescent="0.45"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</row>
    <row r="84" spans="3:17" x14ac:dyDescent="0.45"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</row>
  </sheetData>
  <mergeCells count="4">
    <mergeCell ref="B1:Q1"/>
    <mergeCell ref="S3:W3"/>
    <mergeCell ref="S10:W10"/>
    <mergeCell ref="S18:W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EFC9-B239-4A35-8298-B32A56EA09DB}">
  <dimension ref="B1:Q34"/>
  <sheetViews>
    <sheetView showGridLines="0" zoomScale="80" zoomScaleNormal="80" workbookViewId="0">
      <selection activeCell="O20" sqref="O20"/>
    </sheetView>
  </sheetViews>
  <sheetFormatPr defaultRowHeight="14.25" x14ac:dyDescent="0.45"/>
  <cols>
    <col min="1" max="1" width="1.796875" customWidth="1"/>
    <col min="2" max="2" width="18.46484375" bestFit="1" customWidth="1"/>
    <col min="3" max="3" width="20.46484375" customWidth="1"/>
    <col min="5" max="5" width="16.3984375" customWidth="1"/>
    <col min="6" max="6" width="18.06640625" customWidth="1"/>
    <col min="7" max="7" width="11" customWidth="1"/>
    <col min="8" max="8" width="14" customWidth="1"/>
    <col min="9" max="9" width="9.6640625" customWidth="1"/>
  </cols>
  <sheetData>
    <row r="1" spans="2:17" ht="15.75" x14ac:dyDescent="0.5">
      <c r="B1" s="261" t="str">
        <f>"DCF Model for "&amp;'Data Sheet'!B1</f>
        <v>DCF Model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193"/>
      <c r="N1" s="193"/>
      <c r="O1" s="193"/>
      <c r="P1" s="193"/>
      <c r="Q1" s="193"/>
    </row>
    <row r="2" spans="2:17" ht="18" customHeight="1" x14ac:dyDescent="0.45">
      <c r="B2" s="269" t="str">
        <f>"WACC Calculation for "&amp;'Data Sheet'!B1</f>
        <v>WACC Calculation for INFOSYS LTD</v>
      </c>
      <c r="C2" s="269"/>
      <c r="F2" s="270" t="str">
        <f>"Discount Cash-Flow for "&amp;'Data Sheet'!B1</f>
        <v>Discount Cash-Flow for INFOSYS LTD</v>
      </c>
      <c r="G2" s="271"/>
      <c r="H2" s="271"/>
      <c r="I2" s="271"/>
      <c r="J2" s="271"/>
      <c r="K2" s="271"/>
      <c r="L2" s="272"/>
    </row>
    <row r="3" spans="2:17" x14ac:dyDescent="0.45">
      <c r="B3" s="213" t="s">
        <v>526</v>
      </c>
      <c r="C3" s="198">
        <v>469200</v>
      </c>
      <c r="F3" s="103"/>
      <c r="G3" s="12">
        <v>0</v>
      </c>
      <c r="H3" s="12">
        <v>1</v>
      </c>
      <c r="I3" s="12">
        <v>2</v>
      </c>
      <c r="J3" s="12">
        <v>3</v>
      </c>
      <c r="K3" s="12">
        <v>4</v>
      </c>
      <c r="L3" s="102">
        <v>5</v>
      </c>
    </row>
    <row r="4" spans="2:17" x14ac:dyDescent="0.45">
      <c r="B4" s="213" t="s">
        <v>527</v>
      </c>
      <c r="C4" s="198">
        <v>8525</v>
      </c>
      <c r="F4" s="215" t="s">
        <v>82</v>
      </c>
      <c r="G4" s="216">
        <f>'Historical Financial Statement'!L14</f>
        <v>37378</v>
      </c>
      <c r="H4" s="217">
        <f>'Historical Financial Statement'!M14</f>
        <v>44799.589220884314</v>
      </c>
      <c r="I4" s="217">
        <f>'Historical Financial Statement'!N14</f>
        <v>49300.17551394747</v>
      </c>
      <c r="J4" s="217">
        <f>'Historical Financial Statement'!O14</f>
        <v>54363.77040645876</v>
      </c>
      <c r="K4" s="217">
        <f>'Historical Financial Statement'!P14</f>
        <v>60339.397584148828</v>
      </c>
      <c r="L4" s="218">
        <f>'Historical Financial Statement'!Q14</f>
        <v>66857.274746400013</v>
      </c>
    </row>
    <row r="5" spans="2:17" x14ac:dyDescent="0.45">
      <c r="B5" s="213" t="s">
        <v>528</v>
      </c>
      <c r="C5" s="199">
        <f>C3/SUM(C3:C4)</f>
        <v>0.98215500549479307</v>
      </c>
      <c r="F5" s="215" t="s">
        <v>5</v>
      </c>
      <c r="G5" s="216">
        <f>'Historical Financial Statement'!L13</f>
        <v>4902</v>
      </c>
      <c r="H5" s="217">
        <f>'Historical Financial Statement'!M13</f>
        <v>4711.6420103622086</v>
      </c>
      <c r="I5" s="217">
        <f>'Historical Financial Statement'!N13</f>
        <v>4763.7376754573552</v>
      </c>
      <c r="J5" s="217">
        <f>'Historical Financial Statement'!O13</f>
        <v>4733.8013829469046</v>
      </c>
      <c r="K5" s="217">
        <f>'Historical Financial Statement'!P13</f>
        <v>4813.74659338122</v>
      </c>
      <c r="L5" s="218">
        <f>'Historical Financial Statement'!Q13</f>
        <v>4946.5198444537955</v>
      </c>
    </row>
    <row r="6" spans="2:17" x14ac:dyDescent="0.45">
      <c r="B6" s="213" t="s">
        <v>529</v>
      </c>
      <c r="C6" s="199">
        <f>C4/(SUM(C3:C4))</f>
        <v>1.7844994505206969E-2</v>
      </c>
      <c r="F6" s="215" t="s">
        <v>538</v>
      </c>
      <c r="G6" s="216">
        <f>-'Historical Financial Statement'!L75</f>
        <v>2727</v>
      </c>
      <c r="H6" s="217">
        <f>-'Historical Financial Statement'!M75</f>
        <v>4606.0312071488288</v>
      </c>
      <c r="I6" s="217">
        <f>-'Historical Financial Statement'!N75</f>
        <v>4704.3110259416671</v>
      </c>
      <c r="J6" s="217">
        <f>-'Historical Financial Statement'!O75</f>
        <v>5020.6412971695572</v>
      </c>
      <c r="K6" s="217">
        <f>-'Historical Financial Statement'!P75</f>
        <v>5303.1497171871333</v>
      </c>
      <c r="L6" s="218">
        <f>-'Historical Financial Statement'!Q75</f>
        <v>5369.4901552238571</v>
      </c>
    </row>
    <row r="7" spans="2:17" x14ac:dyDescent="0.45">
      <c r="B7" s="213" t="s">
        <v>530</v>
      </c>
      <c r="C7" s="200">
        <f>('Historical Financial Statement'!L17/'DCF Model'!C4)*(1-'DCF Model'!C9)</f>
        <v>3.5915073313782991E-2</v>
      </c>
      <c r="F7" s="219" t="s">
        <v>539</v>
      </c>
      <c r="G7" s="216">
        <f>SUM('Historical Financial Statement'!L55:L56)-'Historical Financial Statement'!L39</f>
        <v>30490</v>
      </c>
      <c r="H7" s="217">
        <f>SUM('Historical Financial Statement'!M55:M56)-'Historical Financial Statement'!M39</f>
        <v>32577.252153843725</v>
      </c>
      <c r="I7" s="217">
        <f>SUM('Historical Financial Statement'!N55:N56)-'Historical Financial Statement'!N39</f>
        <v>35639.784759511502</v>
      </c>
      <c r="J7" s="217">
        <f>SUM('Historical Financial Statement'!O55:O56)-'Historical Financial Statement'!O39</f>
        <v>38924.462464887474</v>
      </c>
      <c r="K7" s="217">
        <f>SUM('Historical Financial Statement'!P55:P56)-'Historical Financial Statement'!P39</f>
        <v>42942.436458353921</v>
      </c>
      <c r="L7" s="218">
        <f>SUM('Historical Financial Statement'!Q55:Q56)-'Historical Financial Statement'!Q39</f>
        <v>47024.87099666494</v>
      </c>
    </row>
    <row r="8" spans="2:17" x14ac:dyDescent="0.45">
      <c r="B8" s="213" t="s">
        <v>531</v>
      </c>
      <c r="C8" s="200">
        <f>C10+C12*(C11-C10)</f>
        <v>0.10010161114159957</v>
      </c>
      <c r="F8" s="215" t="s">
        <v>540</v>
      </c>
      <c r="H8" s="84">
        <f>H7-G7</f>
        <v>2087.252153843725</v>
      </c>
      <c r="I8" s="84">
        <f t="shared" ref="I8:L8" si="0">I7-H7</f>
        <v>3062.5326056677768</v>
      </c>
      <c r="J8" s="84">
        <f t="shared" si="0"/>
        <v>3284.6777053759724</v>
      </c>
      <c r="K8" s="84">
        <f t="shared" si="0"/>
        <v>4017.9739934664467</v>
      </c>
      <c r="L8" s="111">
        <f t="shared" si="0"/>
        <v>4082.4345383110194</v>
      </c>
    </row>
    <row r="9" spans="2:17" ht="14.65" thickBot="1" x14ac:dyDescent="0.5">
      <c r="B9" s="213" t="s">
        <v>8</v>
      </c>
      <c r="C9" s="201">
        <v>0.26400000000000001</v>
      </c>
      <c r="F9" s="220" t="s">
        <v>541</v>
      </c>
      <c r="G9" s="221"/>
      <c r="H9" s="222">
        <f>H4*(1-$C9)+H5-(H6+H8)</f>
        <v>30990.856315940506</v>
      </c>
      <c r="I9" s="222">
        <f t="shared" ref="I9:L9" si="1">I4*(1-$C9)+I5-(I6+I8)</f>
        <v>33281.823222113249</v>
      </c>
      <c r="J9" s="222">
        <f t="shared" si="1"/>
        <v>36440.217399555026</v>
      </c>
      <c r="K9" s="222">
        <f t="shared" si="1"/>
        <v>39902.419504661171</v>
      </c>
      <c r="L9" s="258">
        <f t="shared" si="1"/>
        <v>44701.549364269325</v>
      </c>
    </row>
    <row r="10" spans="2:17" x14ac:dyDescent="0.45">
      <c r="B10" s="213" t="s">
        <v>532</v>
      </c>
      <c r="C10" s="202">
        <v>7.46E-2</v>
      </c>
    </row>
    <row r="11" spans="2:17" x14ac:dyDescent="0.45">
      <c r="B11" s="213" t="s">
        <v>533</v>
      </c>
      <c r="C11" s="200">
        <f>_xlfn.RRI(10,'BETA Calculation'!F525,'BETA Calculation'!F4)</f>
        <v>0.11215961227220483</v>
      </c>
      <c r="F11" s="117" t="s">
        <v>542</v>
      </c>
      <c r="G11" s="12"/>
      <c r="H11" s="242">
        <v>0.06</v>
      </c>
    </row>
    <row r="12" spans="2:17" ht="14.65" thickBot="1" x14ac:dyDescent="0.5">
      <c r="B12" s="214" t="s">
        <v>521</v>
      </c>
      <c r="C12" s="203">
        <f>'BETA Calculation'!J8</f>
        <v>0.67896364203076398</v>
      </c>
      <c r="F12" s="12" t="s">
        <v>534</v>
      </c>
      <c r="H12" s="223">
        <f>C14</f>
        <v>9.8956202726753928E-2</v>
      </c>
    </row>
    <row r="13" spans="2:17" x14ac:dyDescent="0.45">
      <c r="F13" s="12" t="s">
        <v>543</v>
      </c>
      <c r="H13" s="224">
        <f>(L9*(1+H11))/(H12-H11)</f>
        <v>1216331.1362373584</v>
      </c>
    </row>
    <row r="14" spans="2:17" x14ac:dyDescent="0.45">
      <c r="B14" s="196" t="s">
        <v>534</v>
      </c>
      <c r="C14" s="197">
        <f>(C5*C8)+(C6*C7)</f>
        <v>9.8956202726753928E-2</v>
      </c>
    </row>
    <row r="15" spans="2:17" ht="14.65" thickBot="1" x14ac:dyDescent="0.5">
      <c r="F15" s="194" t="s">
        <v>545</v>
      </c>
      <c r="G15" s="194" t="s">
        <v>541</v>
      </c>
      <c r="H15" s="194" t="s">
        <v>544</v>
      </c>
      <c r="I15" s="194" t="s">
        <v>546</v>
      </c>
    </row>
    <row r="16" spans="2:17" x14ac:dyDescent="0.45">
      <c r="B16" s="207" t="s">
        <v>535</v>
      </c>
      <c r="C16" s="204"/>
      <c r="D16" s="210"/>
      <c r="F16" s="15">
        <f>H3</f>
        <v>1</v>
      </c>
      <c r="G16" s="121">
        <f>H9</f>
        <v>30990.856315940506</v>
      </c>
      <c r="H16" s="225">
        <f>1/(1+H$12)^F16</f>
        <v>0.90995437081002717</v>
      </c>
      <c r="I16" s="230">
        <f>G16*H16</f>
        <v>28200.265159835599</v>
      </c>
    </row>
    <row r="17" spans="2:9" x14ac:dyDescent="0.45">
      <c r="B17" s="208" t="s">
        <v>536</v>
      </c>
      <c r="C17" s="205"/>
      <c r="D17" s="211"/>
      <c r="F17" s="15">
        <f>I3</f>
        <v>2</v>
      </c>
      <c r="G17" s="121">
        <f>I9</f>
        <v>33281.823222113249</v>
      </c>
      <c r="H17" s="225">
        <f t="shared" ref="H17:H20" si="2">1/(1+H$12)^F17</f>
        <v>0.82801695695627242</v>
      </c>
      <c r="I17" s="230">
        <f t="shared" ref="I17:I20" si="3">G17*H17</f>
        <v>27557.913986330816</v>
      </c>
    </row>
    <row r="18" spans="2:9" ht="14.65" thickBot="1" x14ac:dyDescent="0.5">
      <c r="B18" s="209" t="s">
        <v>537</v>
      </c>
      <c r="C18" s="206"/>
      <c r="D18" s="212"/>
      <c r="F18" s="15">
        <f>J3</f>
        <v>3</v>
      </c>
      <c r="G18" s="121">
        <f>J9</f>
        <v>36440.217399555026</v>
      </c>
      <c r="H18" s="225">
        <f t="shared" si="2"/>
        <v>0.75345764908717827</v>
      </c>
      <c r="I18" s="230">
        <f t="shared" si="3"/>
        <v>27456.160534094419</v>
      </c>
    </row>
    <row r="19" spans="2:9" x14ac:dyDescent="0.45">
      <c r="F19" s="15">
        <f>K3</f>
        <v>4</v>
      </c>
      <c r="G19" s="121">
        <f>K9</f>
        <v>39902.419504661171</v>
      </c>
      <c r="H19" s="225">
        <f t="shared" si="2"/>
        <v>0.68561208100712556</v>
      </c>
      <c r="I19" s="230">
        <f t="shared" si="3"/>
        <v>27357.58087381006</v>
      </c>
    </row>
    <row r="20" spans="2:9" x14ac:dyDescent="0.45">
      <c r="F20" s="15">
        <f>L3</f>
        <v>5</v>
      </c>
      <c r="G20" s="121">
        <f>L9</f>
        <v>44701.549364269325</v>
      </c>
      <c r="H20" s="225">
        <f t="shared" si="2"/>
        <v>0.62387570979259233</v>
      </c>
      <c r="I20" s="230">
        <f t="shared" si="3"/>
        <v>27888.210838462128</v>
      </c>
    </row>
    <row r="21" spans="2:9" ht="14.65" thickBot="1" x14ac:dyDescent="0.5">
      <c r="G21" s="84">
        <f>H13</f>
        <v>1216331.1362373584</v>
      </c>
      <c r="I21" s="230">
        <f>G21*H20</f>
        <v>758839.45096291229</v>
      </c>
    </row>
    <row r="22" spans="2:9" ht="14.65" thickTop="1" x14ac:dyDescent="0.45">
      <c r="I22" s="231">
        <f>SUM(I16:I21)</f>
        <v>897299.58235544525</v>
      </c>
    </row>
    <row r="25" spans="2:9" x14ac:dyDescent="0.45">
      <c r="F25" s="12" t="s">
        <v>547</v>
      </c>
      <c r="G25" s="86">
        <f>I22</f>
        <v>897299.58235544525</v>
      </c>
    </row>
    <row r="26" spans="2:9" x14ac:dyDescent="0.45">
      <c r="F26" t="s">
        <v>177</v>
      </c>
      <c r="G26" s="170">
        <f>'COMP Analysis'!F4</f>
        <v>-13025</v>
      </c>
    </row>
    <row r="27" spans="2:9" x14ac:dyDescent="0.45">
      <c r="F27" s="12" t="s">
        <v>549</v>
      </c>
      <c r="G27" s="86">
        <f>G25-G26</f>
        <v>910324.58235544525</v>
      </c>
    </row>
    <row r="28" spans="2:9" x14ac:dyDescent="0.45">
      <c r="F28" t="s">
        <v>550</v>
      </c>
      <c r="G28" s="84">
        <f>'Data Sheet'!K93</f>
        <v>405.56</v>
      </c>
    </row>
    <row r="29" spans="2:9" ht="15.75" x14ac:dyDescent="0.5">
      <c r="F29" s="259" t="s">
        <v>548</v>
      </c>
      <c r="G29" s="260">
        <f>G27/G28</f>
        <v>2244.6113580122428</v>
      </c>
    </row>
    <row r="31" spans="2:9" ht="18" x14ac:dyDescent="0.55000000000000004">
      <c r="E31" s="238" t="s">
        <v>548</v>
      </c>
      <c r="F31" s="239" t="s">
        <v>557</v>
      </c>
      <c r="G31" s="238" t="s">
        <v>552</v>
      </c>
      <c r="H31" s="237"/>
    </row>
    <row r="32" spans="2:9" ht="18" x14ac:dyDescent="0.55000000000000004">
      <c r="G32" s="237"/>
    </row>
    <row r="33" spans="6:8" ht="23.25" x14ac:dyDescent="0.7">
      <c r="F33" s="240" t="s">
        <v>556</v>
      </c>
      <c r="G33" s="241"/>
      <c r="H33" s="243" t="s">
        <v>555</v>
      </c>
    </row>
    <row r="34" spans="6:8" ht="18" x14ac:dyDescent="0.55000000000000004">
      <c r="H34" s="237"/>
    </row>
  </sheetData>
  <mergeCells count="3">
    <mergeCell ref="B2:C2"/>
    <mergeCell ref="F2:L2"/>
    <mergeCell ref="B1:L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F530-31EC-46DD-B5EA-62AF5AB350E1}">
  <dimension ref="B1:S27"/>
  <sheetViews>
    <sheetView showGridLines="0" topLeftCell="A2" zoomScale="90" zoomScaleNormal="90" workbookViewId="0">
      <selection activeCell="Q20" sqref="Q20"/>
    </sheetView>
  </sheetViews>
  <sheetFormatPr defaultRowHeight="14.25" x14ac:dyDescent="0.45"/>
  <cols>
    <col min="1" max="1" width="1.796875" customWidth="1"/>
    <col min="2" max="2" width="20.06640625" bestFit="1" customWidth="1"/>
    <col min="3" max="3" width="9.73046875" bestFit="1" customWidth="1"/>
    <col min="4" max="4" width="16.73046875" bestFit="1" customWidth="1"/>
    <col min="5" max="5" width="13.3984375" customWidth="1"/>
    <col min="6" max="6" width="10.06640625" customWidth="1"/>
    <col min="7" max="7" width="14.19921875" bestFit="1" customWidth="1"/>
    <col min="9" max="9" width="10.1328125" customWidth="1"/>
    <col min="12" max="13" width="10.19921875" customWidth="1"/>
    <col min="14" max="14" width="10.73046875" bestFit="1" customWidth="1"/>
    <col min="15" max="15" width="9.46484375" bestFit="1" customWidth="1"/>
    <col min="16" max="16" width="9.19921875" customWidth="1"/>
  </cols>
  <sheetData>
    <row r="1" spans="2:19" ht="15.75" x14ac:dyDescent="0.5">
      <c r="B1" s="261" t="str">
        <f>"COMP Analysis for "&amp;'Data Sheet'!B1</f>
        <v>COMP Analysis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168"/>
      <c r="S1" s="168"/>
    </row>
    <row r="2" spans="2:19" x14ac:dyDescent="0.45">
      <c r="B2" s="226"/>
      <c r="C2" s="273" t="s">
        <v>172</v>
      </c>
      <c r="D2" s="273"/>
      <c r="E2" s="273"/>
      <c r="F2" s="273"/>
      <c r="G2" s="273"/>
      <c r="H2" s="227"/>
      <c r="I2" s="274" t="s">
        <v>173</v>
      </c>
      <c r="J2" s="274"/>
      <c r="K2" s="274"/>
      <c r="L2" s="274"/>
      <c r="M2" s="226"/>
      <c r="N2" s="274" t="s">
        <v>174</v>
      </c>
      <c r="O2" s="274"/>
      <c r="P2" s="274"/>
      <c r="Q2" s="274"/>
    </row>
    <row r="3" spans="2:19" x14ac:dyDescent="0.45">
      <c r="B3" s="226" t="s">
        <v>171</v>
      </c>
      <c r="C3" s="228" t="s">
        <v>175</v>
      </c>
      <c r="D3" s="228" t="s">
        <v>197</v>
      </c>
      <c r="E3" s="228" t="s">
        <v>176</v>
      </c>
      <c r="F3" s="228" t="s">
        <v>177</v>
      </c>
      <c r="G3" s="228" t="s">
        <v>183</v>
      </c>
      <c r="H3" s="229"/>
      <c r="I3" s="228" t="s">
        <v>178</v>
      </c>
      <c r="J3" s="228" t="s">
        <v>81</v>
      </c>
      <c r="K3" s="228" t="s">
        <v>82</v>
      </c>
      <c r="L3" s="228" t="s">
        <v>84</v>
      </c>
      <c r="M3" s="229"/>
      <c r="N3" s="228" t="s">
        <v>179</v>
      </c>
      <c r="O3" s="228" t="s">
        <v>180</v>
      </c>
      <c r="P3" s="228" t="s">
        <v>181</v>
      </c>
      <c r="Q3" s="228" t="s">
        <v>182</v>
      </c>
    </row>
    <row r="4" spans="2:19" ht="14.65" thickBot="1" x14ac:dyDescent="0.5">
      <c r="B4" s="16" t="s">
        <v>184</v>
      </c>
      <c r="C4" s="173">
        <v>1154</v>
      </c>
      <c r="D4" s="232">
        <f>E4/C4</f>
        <v>406.58578856152513</v>
      </c>
      <c r="E4" s="173">
        <v>469200</v>
      </c>
      <c r="F4" s="170">
        <f>'Historical Financial Statement'!L34-'Historical Financial Statement'!L57</f>
        <v>-13025</v>
      </c>
      <c r="G4" s="171">
        <f>E4+F4</f>
        <v>456175</v>
      </c>
      <c r="H4" s="170"/>
      <c r="I4" s="172">
        <f>'Historical Financial Statement'!L3</f>
        <v>178650</v>
      </c>
      <c r="J4" s="172">
        <f>'Historical Financial Statement'!L10</f>
        <v>42280</v>
      </c>
      <c r="K4" s="172">
        <f>'Historical Financial Statement'!L14</f>
        <v>37378</v>
      </c>
      <c r="L4" s="172">
        <f>'Historical Financial Statement'!L23</f>
        <v>29474</v>
      </c>
      <c r="N4" s="175">
        <f>$G4/I4</f>
        <v>2.5534564791491743</v>
      </c>
      <c r="O4" s="175">
        <f t="shared" ref="O4:P8" si="0">$G4/J4</f>
        <v>10.789380321665091</v>
      </c>
      <c r="P4" s="175">
        <f t="shared" si="0"/>
        <v>12.204371555460432</v>
      </c>
      <c r="Q4" s="175">
        <f>E4/L4</f>
        <v>15.919115152337653</v>
      </c>
    </row>
    <row r="5" spans="2:19" ht="15" thickTop="1" thickBot="1" x14ac:dyDescent="0.5">
      <c r="B5" s="12" t="s">
        <v>185</v>
      </c>
      <c r="C5" s="173">
        <v>2528</v>
      </c>
      <c r="D5" s="232">
        <f t="shared" ref="D5:D8" si="1">E5/C5</f>
        <v>362.37262658227849</v>
      </c>
      <c r="E5" s="173">
        <v>916078</v>
      </c>
      <c r="F5" s="173">
        <f>11283-12950</f>
        <v>-1667</v>
      </c>
      <c r="G5" s="171">
        <f t="shared" ref="G5:G8" si="2">E5+F5</f>
        <v>914411</v>
      </c>
      <c r="H5" s="170"/>
      <c r="I5" s="174">
        <v>267021</v>
      </c>
      <c r="J5" s="174">
        <f>72398+5560</f>
        <v>77958</v>
      </c>
      <c r="K5" s="174">
        <v>72398</v>
      </c>
      <c r="L5" s="174">
        <v>49454</v>
      </c>
      <c r="N5" s="175">
        <f>$G5/I5</f>
        <v>3.4244909576400357</v>
      </c>
      <c r="O5" s="175">
        <f t="shared" si="0"/>
        <v>11.729533851561097</v>
      </c>
      <c r="P5" s="175">
        <f t="shared" si="0"/>
        <v>12.630335092129616</v>
      </c>
      <c r="Q5" s="175">
        <f t="shared" ref="Q5:Q8" si="3">E5/L5</f>
        <v>18.523840336474301</v>
      </c>
    </row>
    <row r="6" spans="2:19" ht="15" thickTop="1" thickBot="1" x14ac:dyDescent="0.5">
      <c r="B6" s="12" t="s">
        <v>186</v>
      </c>
      <c r="C6" s="173">
        <v>1424</v>
      </c>
      <c r="D6" s="232">
        <f t="shared" si="1"/>
        <v>270.54845505617976</v>
      </c>
      <c r="E6" s="173">
        <v>385261</v>
      </c>
      <c r="F6" s="173">
        <f>5215-23425</f>
        <v>-18210</v>
      </c>
      <c r="G6" s="171">
        <f t="shared" si="2"/>
        <v>367051</v>
      </c>
      <c r="H6" s="170"/>
      <c r="I6" s="174">
        <v>130144</v>
      </c>
      <c r="J6" s="174">
        <f>26752+4355</f>
        <v>31107</v>
      </c>
      <c r="K6" s="174">
        <v>26752</v>
      </c>
      <c r="L6" s="174">
        <v>16652</v>
      </c>
      <c r="N6" s="175">
        <f>$G6/I6</f>
        <v>2.820345156134743</v>
      </c>
      <c r="O6" s="175">
        <f t="shared" si="0"/>
        <v>11.799627093580224</v>
      </c>
      <c r="P6" s="175">
        <f t="shared" si="0"/>
        <v>13.720506877990431</v>
      </c>
      <c r="Q6" s="175">
        <f t="shared" si="3"/>
        <v>23.136019697333655</v>
      </c>
    </row>
    <row r="7" spans="2:19" ht="15" thickTop="1" thickBot="1" x14ac:dyDescent="0.5">
      <c r="B7" s="12" t="s">
        <v>187</v>
      </c>
      <c r="C7" s="173">
        <v>190</v>
      </c>
      <c r="D7" s="232">
        <f t="shared" si="1"/>
        <v>991.37368421052633</v>
      </c>
      <c r="E7" s="173">
        <v>188361</v>
      </c>
      <c r="F7" s="173">
        <f>20291-10556</f>
        <v>9735</v>
      </c>
      <c r="G7" s="171">
        <f t="shared" si="2"/>
        <v>198096</v>
      </c>
      <c r="H7" s="170"/>
      <c r="I7" s="174">
        <f>92624</f>
        <v>92624</v>
      </c>
      <c r="J7" s="174">
        <f>17811+2911</f>
        <v>20722</v>
      </c>
      <c r="K7" s="174">
        <v>17811</v>
      </c>
      <c r="L7" s="174">
        <v>13266</v>
      </c>
      <c r="N7" s="175">
        <f>$G7/I7</f>
        <v>2.1387113491103817</v>
      </c>
      <c r="O7" s="175">
        <f t="shared" si="0"/>
        <v>9.5596950101341562</v>
      </c>
      <c r="P7" s="175">
        <f t="shared" si="0"/>
        <v>11.122115546572344</v>
      </c>
      <c r="Q7" s="175">
        <f t="shared" si="3"/>
        <v>14.198778833107191</v>
      </c>
    </row>
    <row r="8" spans="2:19" ht="15" thickTop="1" thickBot="1" x14ac:dyDescent="0.5">
      <c r="B8" s="12" t="s">
        <v>188</v>
      </c>
      <c r="C8" s="173">
        <v>1789</v>
      </c>
      <c r="D8" s="232">
        <f t="shared" si="1"/>
        <v>98.26271660145332</v>
      </c>
      <c r="E8" s="173">
        <v>175792</v>
      </c>
      <c r="F8" s="173">
        <f>2186-5105</f>
        <v>-2919</v>
      </c>
      <c r="G8" s="171">
        <f t="shared" si="2"/>
        <v>172873</v>
      </c>
      <c r="H8" s="170"/>
      <c r="I8" s="174">
        <v>56815</v>
      </c>
      <c r="J8" s="174">
        <f>9033+1882</f>
        <v>10915</v>
      </c>
      <c r="K8" s="174">
        <v>9033</v>
      </c>
      <c r="L8" s="174">
        <v>4806</v>
      </c>
      <c r="N8" s="175">
        <f>$G8/I8</f>
        <v>3.0427351931708175</v>
      </c>
      <c r="O8" s="175">
        <f t="shared" si="0"/>
        <v>15.838112688960146</v>
      </c>
      <c r="P8" s="175">
        <f t="shared" si="0"/>
        <v>19.137938669323592</v>
      </c>
      <c r="Q8" s="175">
        <f t="shared" si="3"/>
        <v>36.577611319184356</v>
      </c>
    </row>
    <row r="9" spans="2:19" ht="14.65" thickTop="1" x14ac:dyDescent="0.45"/>
    <row r="10" spans="2:19" x14ac:dyDescent="0.45">
      <c r="B10" s="176" t="s">
        <v>191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8">
        <f>MAX(N4:N8)</f>
        <v>3.4244909576400357</v>
      </c>
      <c r="O10" s="178">
        <f t="shared" ref="O10:Q10" si="4">MAX(O4:O8)</f>
        <v>15.838112688960146</v>
      </c>
      <c r="P10" s="178">
        <f t="shared" si="4"/>
        <v>19.137938669323592</v>
      </c>
      <c r="Q10" s="178">
        <f t="shared" si="4"/>
        <v>36.577611319184356</v>
      </c>
    </row>
    <row r="11" spans="2:19" x14ac:dyDescent="0.45">
      <c r="B11" s="176" t="s">
        <v>194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8">
        <f>_xlfn.PERCENTILE.EXC(N4:N8,0.75)</f>
        <v>3.2336130754054269</v>
      </c>
      <c r="O11" s="178">
        <f t="shared" ref="O11:Q11" si="5">_xlfn.PERCENTILE.EXC(O4:O8,0.75)</f>
        <v>13.818869891270186</v>
      </c>
      <c r="P11" s="178">
        <f t="shared" si="5"/>
        <v>16.42922277365701</v>
      </c>
      <c r="Q11" s="178">
        <f t="shared" si="5"/>
        <v>29.856815508259004</v>
      </c>
    </row>
    <row r="12" spans="2:19" x14ac:dyDescent="0.45">
      <c r="B12" s="183" t="s">
        <v>190</v>
      </c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81">
        <f>MEDIAN(N4:N8)</f>
        <v>2.820345156134743</v>
      </c>
      <c r="O12" s="181">
        <f t="shared" ref="O12:Q12" si="6">MEDIAN(O4:O8)</f>
        <v>11.729533851561097</v>
      </c>
      <c r="P12" s="181">
        <f t="shared" si="6"/>
        <v>12.630335092129616</v>
      </c>
      <c r="Q12" s="181">
        <f t="shared" si="6"/>
        <v>18.523840336474301</v>
      </c>
    </row>
    <row r="13" spans="2:19" x14ac:dyDescent="0.45">
      <c r="B13" s="184" t="s">
        <v>189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2">
        <f>AVERAGE(N4:N8)</f>
        <v>2.7959478270410307</v>
      </c>
      <c r="O13" s="182">
        <f t="shared" ref="O13:Q13" si="7">AVERAGE(O4:O8)</f>
        <v>11.943269793180141</v>
      </c>
      <c r="P13" s="182">
        <f t="shared" si="7"/>
        <v>13.763053548295284</v>
      </c>
      <c r="Q13" s="182">
        <f t="shared" si="7"/>
        <v>21.671073067687431</v>
      </c>
    </row>
    <row r="14" spans="2:19" x14ac:dyDescent="0.45">
      <c r="B14" s="176" t="s">
        <v>193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8">
        <f>_xlfn.PERCENTILE.EXC(N4:N8,0.25)</f>
        <v>2.3460839141297782</v>
      </c>
      <c r="O14" s="178">
        <f t="shared" ref="O14:Q14" si="8">_xlfn.PERCENTILE.EXC(O4:O8,0.25)</f>
        <v>10.174537665899624</v>
      </c>
      <c r="P14" s="178">
        <f t="shared" si="8"/>
        <v>11.663243551016388</v>
      </c>
      <c r="Q14" s="178">
        <f t="shared" si="8"/>
        <v>15.058946992722422</v>
      </c>
    </row>
    <row r="15" spans="2:19" x14ac:dyDescent="0.45">
      <c r="B15" s="176" t="s">
        <v>192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8">
        <f>MIN(N4:N8)</f>
        <v>2.1387113491103817</v>
      </c>
      <c r="O15" s="178">
        <f t="shared" ref="O15:Q15" si="9">MIN(O4:O8)</f>
        <v>9.5596950101341562</v>
      </c>
      <c r="P15" s="178">
        <f t="shared" si="9"/>
        <v>11.122115546572344</v>
      </c>
      <c r="Q15" s="178">
        <f t="shared" si="9"/>
        <v>14.198778833107191</v>
      </c>
    </row>
    <row r="16" spans="2:19" s="9" customFormat="1" x14ac:dyDescent="0.45">
      <c r="B16" s="24"/>
      <c r="N16" s="185"/>
      <c r="O16" s="185"/>
      <c r="P16" s="185"/>
      <c r="Q16" s="185"/>
    </row>
    <row r="17" spans="2:17" x14ac:dyDescent="0.45">
      <c r="N17" s="274" t="s">
        <v>174</v>
      </c>
      <c r="O17" s="274"/>
      <c r="P17" s="274"/>
      <c r="Q17" s="274"/>
    </row>
    <row r="18" spans="2:17" x14ac:dyDescent="0.45">
      <c r="B18" s="186" t="str">
        <f>'Data Sheet'!B1</f>
        <v>INFOSYS LTD</v>
      </c>
      <c r="N18" s="228" t="s">
        <v>179</v>
      </c>
      <c r="O18" s="228" t="s">
        <v>180</v>
      </c>
      <c r="P18" s="228" t="s">
        <v>181</v>
      </c>
      <c r="Q18" s="228" t="s">
        <v>182</v>
      </c>
    </row>
    <row r="19" spans="2:17" ht="14.65" thickBot="1" x14ac:dyDescent="0.5">
      <c r="B19" t="s">
        <v>195</v>
      </c>
      <c r="N19" s="172">
        <f>N13*I4</f>
        <v>499496.07930088014</v>
      </c>
      <c r="O19" s="172">
        <f t="shared" ref="O19:P19" si="10">O13*J4</f>
        <v>504961.44685565634</v>
      </c>
      <c r="P19" s="172">
        <f t="shared" si="10"/>
        <v>514435.41552818113</v>
      </c>
      <c r="Q19" s="172">
        <f>Q21+Q20</f>
        <v>625708.20759701938</v>
      </c>
    </row>
    <row r="20" spans="2:17" ht="14.65" thickTop="1" x14ac:dyDescent="0.45">
      <c r="B20" t="s">
        <v>177</v>
      </c>
      <c r="N20" s="170">
        <f>$F4</f>
        <v>-13025</v>
      </c>
      <c r="O20" s="170">
        <f t="shared" ref="O20:Q20" si="11">$F4</f>
        <v>-13025</v>
      </c>
      <c r="P20" s="170">
        <f t="shared" si="11"/>
        <v>-13025</v>
      </c>
      <c r="Q20" s="170">
        <f t="shared" si="11"/>
        <v>-13025</v>
      </c>
    </row>
    <row r="21" spans="2:17" x14ac:dyDescent="0.45">
      <c r="B21" t="s">
        <v>196</v>
      </c>
      <c r="N21" s="170">
        <f>N19-N20</f>
        <v>512521.07930088014</v>
      </c>
      <c r="O21" s="170">
        <f t="shared" ref="O21:P21" si="12">O19-O20</f>
        <v>517986.44685565634</v>
      </c>
      <c r="P21" s="170">
        <f t="shared" si="12"/>
        <v>527460.41552818113</v>
      </c>
      <c r="Q21" s="170">
        <f>Q13*L4</f>
        <v>638733.20759701938</v>
      </c>
    </row>
    <row r="22" spans="2:17" x14ac:dyDescent="0.45">
      <c r="B22" t="s">
        <v>197</v>
      </c>
      <c r="N22" s="170">
        <f>$D4</f>
        <v>406.58578856152513</v>
      </c>
      <c r="O22" s="170">
        <f t="shared" ref="O22:Q22" si="13">$D4</f>
        <v>406.58578856152513</v>
      </c>
      <c r="P22" s="170">
        <f t="shared" si="13"/>
        <v>406.58578856152513</v>
      </c>
      <c r="Q22" s="170">
        <f t="shared" si="13"/>
        <v>406.58578856152513</v>
      </c>
    </row>
    <row r="23" spans="2:17" ht="14.65" thickBot="1" x14ac:dyDescent="0.5">
      <c r="B23" s="187" t="s">
        <v>198</v>
      </c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8">
        <f>N21/N22</f>
        <v>1260.5484345976463</v>
      </c>
      <c r="O23" s="188">
        <f t="shared" ref="O23:Q23" si="14">O21/O22</f>
        <v>1273.9905363841165</v>
      </c>
      <c r="P23" s="188">
        <f t="shared" si="14"/>
        <v>1297.2918148327387</v>
      </c>
      <c r="Q23" s="188">
        <f t="shared" si="14"/>
        <v>1570.967863527196</v>
      </c>
    </row>
    <row r="24" spans="2:17" ht="14.65" thickTop="1" x14ac:dyDescent="0.45"/>
    <row r="25" spans="2:17" ht="18" x14ac:dyDescent="0.55000000000000004">
      <c r="E25" s="238" t="s">
        <v>175</v>
      </c>
      <c r="F25" s="239" t="s">
        <v>551</v>
      </c>
      <c r="G25" s="238" t="s">
        <v>553</v>
      </c>
    </row>
    <row r="26" spans="2:17" ht="18" x14ac:dyDescent="0.55000000000000004">
      <c r="F26" s="237"/>
    </row>
    <row r="27" spans="2:17" ht="23.25" x14ac:dyDescent="0.7">
      <c r="E27" s="240" t="s">
        <v>554</v>
      </c>
      <c r="F27" s="241"/>
      <c r="G27" s="241"/>
      <c r="H27" s="243" t="s">
        <v>555</v>
      </c>
      <c r="I27" t="s">
        <v>132</v>
      </c>
    </row>
  </sheetData>
  <mergeCells count="5">
    <mergeCell ref="B1:Q1"/>
    <mergeCell ref="C2:G2"/>
    <mergeCell ref="I2:L2"/>
    <mergeCell ref="N2:Q2"/>
    <mergeCell ref="N17:Q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C986-E515-485C-BF20-9C2A06DF0423}">
  <dimension ref="B1:X19"/>
  <sheetViews>
    <sheetView showGridLines="0" zoomScale="80" zoomScaleNormal="80" workbookViewId="0">
      <selection activeCell="R23" sqref="R23"/>
    </sheetView>
  </sheetViews>
  <sheetFormatPr defaultRowHeight="14.25" x14ac:dyDescent="0.45"/>
  <cols>
    <col min="1" max="1" width="1.796875" customWidth="1"/>
    <col min="2" max="2" width="17.46484375" style="47" bestFit="1" customWidth="1"/>
    <col min="14" max="14" width="21.1328125" bestFit="1" customWidth="1"/>
  </cols>
  <sheetData>
    <row r="1" spans="2:24" ht="15.75" x14ac:dyDescent="0.5">
      <c r="B1" s="261" t="str">
        <f>"Common Size Income Statement for "&amp;'Data Sheet'!B1</f>
        <v>Common Size Income Statement for INFOSYS LTD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193"/>
      <c r="N1" s="261" t="str">
        <f>"Common Size Balance Sheet for "&amp;'Data Sheet'!B1</f>
        <v>Common Size Balance Sheet for INFOSYS LTD</v>
      </c>
      <c r="O1" s="261"/>
      <c r="P1" s="261"/>
      <c r="Q1" s="261"/>
      <c r="R1" s="261"/>
      <c r="S1" s="261"/>
      <c r="T1" s="261"/>
      <c r="U1" s="261"/>
      <c r="V1" s="261"/>
      <c r="W1" s="261"/>
      <c r="X1" s="261"/>
    </row>
    <row r="2" spans="2:24" x14ac:dyDescent="0.45">
      <c r="B2" s="116" t="str">
        <f>'Data Sheet'!A16</f>
        <v>Report Date</v>
      </c>
      <c r="C2" s="250">
        <f>'Data Sheet'!B16</f>
        <v>42825</v>
      </c>
      <c r="D2" s="250">
        <f>'Data Sheet'!C16</f>
        <v>43190</v>
      </c>
      <c r="E2" s="250">
        <f>'Data Sheet'!D16</f>
        <v>43555</v>
      </c>
      <c r="F2" s="250">
        <f>'Data Sheet'!E16</f>
        <v>43921</v>
      </c>
      <c r="G2" s="250">
        <f>'Data Sheet'!F16</f>
        <v>44286</v>
      </c>
      <c r="H2" s="250">
        <f>'Data Sheet'!G16</f>
        <v>44651</v>
      </c>
      <c r="I2" s="250">
        <f>'Data Sheet'!H16</f>
        <v>45016</v>
      </c>
      <c r="J2" s="250">
        <f>'Data Sheet'!I16</f>
        <v>45382</v>
      </c>
      <c r="K2" s="250">
        <f>'Data Sheet'!J16</f>
        <v>45747</v>
      </c>
      <c r="L2" s="250">
        <f>'Data Sheet'!K16</f>
        <v>46112</v>
      </c>
      <c r="M2" s="244"/>
      <c r="N2" s="21" t="str">
        <f>'Historical Financial Statement'!B2</f>
        <v>Report Date</v>
      </c>
      <c r="O2" s="21">
        <f>'Historical Financial Statement'!C2</f>
        <v>42825</v>
      </c>
      <c r="P2" s="21">
        <f>'Historical Financial Statement'!D2</f>
        <v>43190</v>
      </c>
      <c r="Q2" s="21">
        <f>'Historical Financial Statement'!E2</f>
        <v>43555</v>
      </c>
      <c r="R2" s="21">
        <f>'Historical Financial Statement'!F2</f>
        <v>43921</v>
      </c>
      <c r="S2" s="21">
        <f>'Historical Financial Statement'!G2</f>
        <v>44286</v>
      </c>
      <c r="T2" s="21">
        <f>'Historical Financial Statement'!H2</f>
        <v>44651</v>
      </c>
      <c r="U2" s="21">
        <f>'Historical Financial Statement'!I2</f>
        <v>45016</v>
      </c>
      <c r="V2" s="21">
        <f>'Historical Financial Statement'!J2</f>
        <v>45382</v>
      </c>
      <c r="W2" s="21">
        <f>'Historical Financial Statement'!K2</f>
        <v>45747</v>
      </c>
      <c r="X2" s="21">
        <f>'Historical Financial Statement'!L2</f>
        <v>46112</v>
      </c>
    </row>
    <row r="3" spans="2:24" x14ac:dyDescent="0.45">
      <c r="B3" s="245" t="str">
        <f>'Data Sheet'!A17</f>
        <v>Sales</v>
      </c>
      <c r="C3" s="85">
        <f>'Data Sheet'!B17/'Data Sheet'!B$17</f>
        <v>1</v>
      </c>
      <c r="D3" s="85">
        <f>'Data Sheet'!C17/'Data Sheet'!C$17</f>
        <v>1</v>
      </c>
      <c r="E3" s="85">
        <f>'Data Sheet'!D17/'Data Sheet'!D$17</f>
        <v>1</v>
      </c>
      <c r="F3" s="85">
        <f>'Data Sheet'!E17/'Data Sheet'!E$17</f>
        <v>1</v>
      </c>
      <c r="G3" s="85">
        <f>'Data Sheet'!F17/'Data Sheet'!F$17</f>
        <v>1</v>
      </c>
      <c r="H3" s="85">
        <f>'Data Sheet'!G17/'Data Sheet'!G$17</f>
        <v>1</v>
      </c>
      <c r="I3" s="85">
        <f>'Data Sheet'!H17/'Data Sheet'!H$17</f>
        <v>1</v>
      </c>
      <c r="J3" s="85">
        <f>'Data Sheet'!I17/'Data Sheet'!I$17</f>
        <v>1</v>
      </c>
      <c r="K3" s="85">
        <f>'Data Sheet'!J17/'Data Sheet'!J$17</f>
        <v>1</v>
      </c>
      <c r="L3" s="246">
        <f>'Data Sheet'!K17/'Data Sheet'!K$17</f>
        <v>1</v>
      </c>
      <c r="N3" s="251" t="str">
        <f>'Data Sheet'!A57</f>
        <v>Equity Share Capital</v>
      </c>
      <c r="O3" s="85">
        <f>'Data Sheet'!B57/'Data Sheet'!B$61</f>
        <v>1.3758599124452783E-2</v>
      </c>
      <c r="P3" s="85">
        <f>'Data Sheet'!C57/'Data Sheet'!C$61</f>
        <v>1.3711577965695851E-2</v>
      </c>
      <c r="Q3" s="85">
        <f>'Data Sheet'!D57/'Data Sheet'!D$61</f>
        <v>2.5813051649894132E-2</v>
      </c>
      <c r="R3" s="85">
        <f>'Data Sheet'!E57/'Data Sheet'!E$61</f>
        <v>2.3115468409586056E-2</v>
      </c>
      <c r="S3" s="85">
        <f>'Data Sheet'!F57/'Data Sheet'!F$61</f>
        <v>1.9756117978625445E-2</v>
      </c>
      <c r="T3" s="85">
        <f>'Data Sheet'!G57/'Data Sheet'!G$61</f>
        <v>1.7973254289850853E-2</v>
      </c>
      <c r="U3" s="85">
        <f>'Data Sheet'!H57/'Data Sheet'!H$61</f>
        <v>1.6605669523901249E-2</v>
      </c>
      <c r="V3" s="85">
        <f>'Data Sheet'!I57/'Data Sheet'!I$61</f>
        <v>1.5225702102631966E-2</v>
      </c>
      <c r="W3" s="85">
        <f>'Data Sheet'!J57/'Data Sheet'!J$61</f>
        <v>1.4026184918298995E-2</v>
      </c>
      <c r="X3" s="246">
        <f>'Data Sheet'!K57/'Data Sheet'!K$61</f>
        <v>1.3118324172975215E-2</v>
      </c>
    </row>
    <row r="4" spans="2:24" x14ac:dyDescent="0.45">
      <c r="B4" s="245" t="str">
        <f>'Data Sheet'!A18</f>
        <v>Raw Material Cost</v>
      </c>
      <c r="C4" s="85">
        <f>'Data Sheet'!B18/'Data Sheet'!B$17</f>
        <v>0</v>
      </c>
      <c r="D4" s="85">
        <f>'Data Sheet'!C18/'Data Sheet'!C$17</f>
        <v>0</v>
      </c>
      <c r="E4" s="85">
        <f>'Data Sheet'!D18/'Data Sheet'!D$17</f>
        <v>0</v>
      </c>
      <c r="F4" s="85">
        <f>'Data Sheet'!E18/'Data Sheet'!E$17</f>
        <v>0</v>
      </c>
      <c r="G4" s="85">
        <f>'Data Sheet'!F18/'Data Sheet'!F$17</f>
        <v>0</v>
      </c>
      <c r="H4" s="85">
        <f>'Data Sheet'!G18/'Data Sheet'!G$17</f>
        <v>0</v>
      </c>
      <c r="I4" s="85">
        <f>'Data Sheet'!H18/'Data Sheet'!H$17</f>
        <v>0</v>
      </c>
      <c r="J4" s="85">
        <f>'Data Sheet'!I18/'Data Sheet'!I$17</f>
        <v>0</v>
      </c>
      <c r="K4" s="85">
        <f>'Data Sheet'!J18/'Data Sheet'!J$17</f>
        <v>0</v>
      </c>
      <c r="L4" s="246">
        <f>'Data Sheet'!K18/'Data Sheet'!K$17</f>
        <v>0</v>
      </c>
      <c r="N4" s="251" t="str">
        <f>'Data Sheet'!A58</f>
        <v>Reserves</v>
      </c>
      <c r="O4" s="85">
        <f>'Data Sheet'!B58/'Data Sheet'!B$61</f>
        <v>0.81587049598306638</v>
      </c>
      <c r="P4" s="85">
        <f>'Data Sheet'!C58/'Data Sheet'!C$61</f>
        <v>0.80448398845606117</v>
      </c>
      <c r="Q4" s="85">
        <f>'Data Sheet'!D58/'Data Sheet'!D$61</f>
        <v>0.74677039468988649</v>
      </c>
      <c r="R4" s="85">
        <f>'Data Sheet'!E58/'Data Sheet'!E$61</f>
        <v>0.68984749455337691</v>
      </c>
      <c r="S4" s="85">
        <f>'Data Sheet'!F58/'Data Sheet'!F$61</f>
        <v>0.69041307401103147</v>
      </c>
      <c r="T4" s="85">
        <f>'Data Sheet'!G58/'Data Sheet'!G$61</f>
        <v>0.62753900059111278</v>
      </c>
      <c r="U4" s="85">
        <f>'Data Sheet'!H58/'Data Sheet'!H$61</f>
        <v>0.58860637580660691</v>
      </c>
      <c r="V4" s="85">
        <f>'Data Sheet'!I58/'Data Sheet'!I$61</f>
        <v>0.63259079547125419</v>
      </c>
      <c r="W4" s="85">
        <f>'Data Sheet'!J58/'Data Sheet'!J$61</f>
        <v>0.63429074055279266</v>
      </c>
      <c r="X4" s="246">
        <f>'Data Sheet'!K58/'Data Sheet'!K$61</f>
        <v>0.58869127864772375</v>
      </c>
    </row>
    <row r="5" spans="2:24" x14ac:dyDescent="0.45">
      <c r="B5" s="245" t="str">
        <f>'Data Sheet'!A19</f>
        <v>Change in Inventory</v>
      </c>
      <c r="C5" s="85">
        <f>'Data Sheet'!B19/'Data Sheet'!B$17</f>
        <v>0</v>
      </c>
      <c r="D5" s="85">
        <f>'Data Sheet'!C19/'Data Sheet'!C$17</f>
        <v>0</v>
      </c>
      <c r="E5" s="85">
        <f>'Data Sheet'!D19/'Data Sheet'!D$17</f>
        <v>0</v>
      </c>
      <c r="F5" s="85">
        <f>'Data Sheet'!E19/'Data Sheet'!E$17</f>
        <v>0</v>
      </c>
      <c r="G5" s="85">
        <f>'Data Sheet'!F19/'Data Sheet'!F$17</f>
        <v>0</v>
      </c>
      <c r="H5" s="85">
        <f>'Data Sheet'!G19/'Data Sheet'!G$17</f>
        <v>0</v>
      </c>
      <c r="I5" s="85">
        <f>'Data Sheet'!H19/'Data Sheet'!H$17</f>
        <v>0</v>
      </c>
      <c r="J5" s="85">
        <f>'Data Sheet'!I19/'Data Sheet'!I$17</f>
        <v>0</v>
      </c>
      <c r="K5" s="85">
        <f>'Data Sheet'!J19/'Data Sheet'!J$17</f>
        <v>0</v>
      </c>
      <c r="L5" s="246">
        <f>'Data Sheet'!K19/'Data Sheet'!K$17</f>
        <v>0</v>
      </c>
      <c r="N5" s="251" t="str">
        <f>'Data Sheet'!A59</f>
        <v>Borrowings</v>
      </c>
      <c r="O5" s="85">
        <f>'Data Sheet'!B59/'Data Sheet'!B$61</f>
        <v>0</v>
      </c>
      <c r="P5" s="85">
        <f>'Data Sheet'!C59/'Data Sheet'!C$61</f>
        <v>0</v>
      </c>
      <c r="Q5" s="85">
        <f>'Data Sheet'!D59/'Data Sheet'!D$61</f>
        <v>0</v>
      </c>
      <c r="R5" s="85">
        <f>'Data Sheet'!E59/'Data Sheet'!E$61</f>
        <v>5.0468409586056646E-2</v>
      </c>
      <c r="S5" s="85">
        <f>'Data Sheet'!F59/'Data Sheet'!F$61</f>
        <v>4.9529815553757288E-2</v>
      </c>
      <c r="T5" s="85">
        <f>'Data Sheet'!G59/'Data Sheet'!G$61</f>
        <v>4.6894944700974051E-2</v>
      </c>
      <c r="U5" s="85">
        <f>'Data Sheet'!H59/'Data Sheet'!H$61</f>
        <v>6.6607274711868766E-2</v>
      </c>
      <c r="V5" s="85">
        <f>'Data Sheet'!I59/'Data Sheet'!I$61</f>
        <v>6.1454197912071754E-2</v>
      </c>
      <c r="W5" s="85">
        <f>'Data Sheet'!J59/'Data Sheet'!J$61</f>
        <v>5.566494130383301E-2</v>
      </c>
      <c r="X5" s="246">
        <f>'Data Sheet'!K59/'Data Sheet'!K$61</f>
        <v>5.9473192989733484E-2</v>
      </c>
    </row>
    <row r="6" spans="2:24" ht="14.65" thickBot="1" x14ac:dyDescent="0.5">
      <c r="B6" s="245" t="str">
        <f>'Data Sheet'!A20</f>
        <v>Power and Fuel</v>
      </c>
      <c r="C6" s="85">
        <f>'Data Sheet'!B20/'Data Sheet'!B$17</f>
        <v>3.3292447871035571E-3</v>
      </c>
      <c r="D6" s="85">
        <f>'Data Sheet'!C20/'Data Sheet'!C$17</f>
        <v>2.9352542469016762E-3</v>
      </c>
      <c r="E6" s="85">
        <f>'Data Sheet'!D20/'Data Sheet'!D$17</f>
        <v>2.6731176292712428E-3</v>
      </c>
      <c r="F6" s="85">
        <f>'Data Sheet'!E20/'Data Sheet'!E$17</f>
        <v>2.5222764370917824E-3</v>
      </c>
      <c r="G6" s="85">
        <f>'Data Sheet'!F20/'Data Sheet'!F$17</f>
        <v>1.4232821084481249E-3</v>
      </c>
      <c r="H6" s="85">
        <f>'Data Sheet'!G20/'Data Sheet'!G$17</f>
        <v>1.0851604311046439E-3</v>
      </c>
      <c r="I6" s="85">
        <f>'Data Sheet'!H20/'Data Sheet'!H$17</f>
        <v>1.1991796521016304E-3</v>
      </c>
      <c r="J6" s="85">
        <f>'Data Sheet'!I20/'Data Sheet'!I$17</f>
        <v>1.2949827552547668E-3</v>
      </c>
      <c r="K6" s="85">
        <f>'Data Sheet'!J20/'Data Sheet'!J$17</f>
        <v>1.3620467513344376E-3</v>
      </c>
      <c r="L6" s="246">
        <f>'Data Sheet'!K20/'Data Sheet'!K$17</f>
        <v>1.248250769661349E-3</v>
      </c>
      <c r="N6" s="251" t="str">
        <f>'Data Sheet'!A60</f>
        <v>Other Liabilities</v>
      </c>
      <c r="O6" s="85">
        <f>'Data Sheet'!B60/'Data Sheet'!B$61</f>
        <v>0.17037090489248088</v>
      </c>
      <c r="P6" s="85">
        <f>'Data Sheet'!C60/'Data Sheet'!C$61</f>
        <v>0.18180443357824294</v>
      </c>
      <c r="Q6" s="85">
        <f>'Data Sheet'!D60/'Data Sheet'!D$61</f>
        <v>0.22741655366021934</v>
      </c>
      <c r="R6" s="85">
        <f>'Data Sheet'!E60/'Data Sheet'!E$61</f>
        <v>0.2365686274509804</v>
      </c>
      <c r="S6" s="85">
        <f>'Data Sheet'!F60/'Data Sheet'!F$61</f>
        <v>0.24030099245658584</v>
      </c>
      <c r="T6" s="85">
        <f>'Data Sheet'!G60/'Data Sheet'!G$61</f>
        <v>0.30759280041806236</v>
      </c>
      <c r="U6" s="85">
        <f>'Data Sheet'!H60/'Data Sheet'!H$61</f>
        <v>0.32818067995762301</v>
      </c>
      <c r="V6" s="85">
        <f>'Data Sheet'!I60/'Data Sheet'!I$61</f>
        <v>0.29072930451404205</v>
      </c>
      <c r="W6" s="85">
        <f>'Data Sheet'!J60/'Data Sheet'!J$61</f>
        <v>0.29601813322507525</v>
      </c>
      <c r="X6" s="246">
        <f>'Data Sheet'!K60/'Data Sheet'!K$61</f>
        <v>0.33871720418956758</v>
      </c>
    </row>
    <row r="7" spans="2:24" ht="14.65" thickBot="1" x14ac:dyDescent="0.5">
      <c r="B7" s="245" t="str">
        <f>'Data Sheet'!A21</f>
        <v>Other Mfr. Exp</v>
      </c>
      <c r="C7" s="85">
        <f>'Data Sheet'!B21/'Data Sheet'!B$17</f>
        <v>9.8008293908066119E-2</v>
      </c>
      <c r="D7" s="85">
        <f>'Data Sheet'!C21/'Data Sheet'!C$17</f>
        <v>0.1033152775020561</v>
      </c>
      <c r="E7" s="85">
        <f>'Data Sheet'!D21/'Data Sheet'!D$17</f>
        <v>0.11977018445721198</v>
      </c>
      <c r="F7" s="85">
        <f>'Data Sheet'!E21/'Data Sheet'!E$17</f>
        <v>0.12210461389344759</v>
      </c>
      <c r="G7" s="85">
        <f>'Data Sheet'!F21/'Data Sheet'!F$17</f>
        <v>0.12739867823871329</v>
      </c>
      <c r="H7" s="85">
        <f>'Data Sheet'!G21/'Data Sheet'!G$17</f>
        <v>0.17009067666329608</v>
      </c>
      <c r="I7" s="85">
        <f>'Data Sheet'!H21/'Data Sheet'!H$17</f>
        <v>0.17940000136270415</v>
      </c>
      <c r="J7" s="85">
        <f>'Data Sheet'!I21/'Data Sheet'!I$17</f>
        <v>0.17697013079976573</v>
      </c>
      <c r="K7" s="85">
        <f>'Data Sheet'!J21/'Data Sheet'!J$17</f>
        <v>0.18648383336401006</v>
      </c>
      <c r="L7" s="246">
        <f>'Data Sheet'!K21/'Data Sheet'!K$17</f>
        <v>0.18428211586901763</v>
      </c>
      <c r="N7" s="253" t="str">
        <f>'Data Sheet'!A61&amp;" Liabilities"</f>
        <v>Total Liabilities</v>
      </c>
      <c r="O7" s="254">
        <f>'Data Sheet'!B61/'Data Sheet'!B$61</f>
        <v>1</v>
      </c>
      <c r="P7" s="254">
        <f>'Data Sheet'!C61/'Data Sheet'!C$61</f>
        <v>1</v>
      </c>
      <c r="Q7" s="254">
        <f>'Data Sheet'!D61/'Data Sheet'!D$61</f>
        <v>1</v>
      </c>
      <c r="R7" s="254">
        <f>'Data Sheet'!E61/'Data Sheet'!E$61</f>
        <v>1</v>
      </c>
      <c r="S7" s="254">
        <f>'Data Sheet'!F61/'Data Sheet'!F$61</f>
        <v>1</v>
      </c>
      <c r="T7" s="254">
        <f>'Data Sheet'!G61/'Data Sheet'!G$61</f>
        <v>1</v>
      </c>
      <c r="U7" s="254">
        <f>'Data Sheet'!H61/'Data Sheet'!H$61</f>
        <v>1</v>
      </c>
      <c r="V7" s="254">
        <f>'Data Sheet'!I61/'Data Sheet'!I$61</f>
        <v>1</v>
      </c>
      <c r="W7" s="254">
        <f>'Data Sheet'!J61/'Data Sheet'!J$61</f>
        <v>1</v>
      </c>
      <c r="X7" s="255">
        <f>'Data Sheet'!K61/'Data Sheet'!K$61</f>
        <v>1</v>
      </c>
    </row>
    <row r="8" spans="2:24" x14ac:dyDescent="0.45">
      <c r="B8" s="245" t="str">
        <f>'Data Sheet'!A22</f>
        <v>Employee Cost</v>
      </c>
      <c r="C8" s="85">
        <f>'Data Sheet'!B22/'Data Sheet'!B$17</f>
        <v>0.55004088546229779</v>
      </c>
      <c r="D8" s="85">
        <f>'Data Sheet'!C22/'Data Sheet'!C$17</f>
        <v>0.5516292788066135</v>
      </c>
      <c r="E8" s="85">
        <f>'Data Sheet'!D22/'Data Sheet'!D$17</f>
        <v>0.54820683398850922</v>
      </c>
      <c r="F8" s="85">
        <f>'Data Sheet'!E22/'Data Sheet'!E$17</f>
        <v>0.5605731845667522</v>
      </c>
      <c r="G8" s="85">
        <f>'Data Sheet'!F22/'Data Sheet'!F$17</f>
        <v>0.55286049844732865</v>
      </c>
      <c r="H8" s="85">
        <f>'Data Sheet'!G22/'Data Sheet'!G$17</f>
        <v>0.52611372810154466</v>
      </c>
      <c r="I8" s="85">
        <f>'Data Sheet'!H22/'Data Sheet'!H$17</f>
        <v>0.53400287530575674</v>
      </c>
      <c r="J8" s="85">
        <f>'Data Sheet'!I22/'Data Sheet'!I$17</f>
        <v>0.53774972343333116</v>
      </c>
      <c r="K8" s="85">
        <f>'Data Sheet'!J22/'Data Sheet'!J$17</f>
        <v>0.52744340143567092</v>
      </c>
      <c r="L8" s="246">
        <f>'Data Sheet'!K22/'Data Sheet'!K$17</f>
        <v>0.53239294710327456</v>
      </c>
      <c r="N8" s="252"/>
      <c r="O8" s="85"/>
      <c r="P8" s="85"/>
      <c r="Q8" s="85"/>
      <c r="R8" s="85"/>
      <c r="S8" s="85"/>
      <c r="T8" s="85"/>
      <c r="U8" s="85"/>
      <c r="V8" s="85"/>
      <c r="W8" s="85"/>
      <c r="X8" s="246"/>
    </row>
    <row r="9" spans="2:24" x14ac:dyDescent="0.45">
      <c r="B9" s="245" t="str">
        <f>'Data Sheet'!A23</f>
        <v>Selling and admin</v>
      </c>
      <c r="C9" s="85">
        <f>'Data Sheet'!B23/'Data Sheet'!B$17</f>
        <v>6.6935342561766253E-2</v>
      </c>
      <c r="D9" s="85">
        <f>'Data Sheet'!C23/'Data Sheet'!C$17</f>
        <v>6.5015172570261764E-2</v>
      </c>
      <c r="E9" s="85">
        <f>'Data Sheet'!D23/'Data Sheet'!D$17</f>
        <v>6.7166616268521315E-2</v>
      </c>
      <c r="F9" s="85">
        <f>'Data Sheet'!E23/'Data Sheet'!E$17</f>
        <v>5.9201903272350781E-2</v>
      </c>
      <c r="G9" s="85">
        <f>'Data Sheet'!F23/'Data Sheet'!F$17</f>
        <v>3.1789951429253921E-2</v>
      </c>
      <c r="H9" s="85">
        <f>'Data Sheet'!G23/'Data Sheet'!G$17</f>
        <v>3.5391027696253727E-2</v>
      </c>
      <c r="I9" s="85">
        <f>'Data Sheet'!H23/'Data Sheet'!H$17</f>
        <v>3.6111659978060463E-2</v>
      </c>
      <c r="J9" s="85">
        <f>'Data Sheet'!I23/'Data Sheet'!I$17</f>
        <v>3.712500813431379E-2</v>
      </c>
      <c r="K9" s="85">
        <f>'Data Sheet'!J23/'Data Sheet'!J$17</f>
        <v>3.7051352843732746E-2</v>
      </c>
      <c r="L9" s="246">
        <f>'Data Sheet'!K23/'Data Sheet'!K$17</f>
        <v>3.7973691575706688E-2</v>
      </c>
      <c r="N9" s="251" t="str">
        <f>'Data Sheet'!A62</f>
        <v>Net Block</v>
      </c>
      <c r="O9" s="85">
        <f>'Data Sheet'!B62/'Data Sheet'!B$66</f>
        <v>0.1705272526098042</v>
      </c>
      <c r="P9" s="85">
        <f>'Data Sheet'!C62/'Data Sheet'!C$66</f>
        <v>0.15846450490869451</v>
      </c>
      <c r="Q9" s="85">
        <f>'Data Sheet'!D62/'Data Sheet'!D$66</f>
        <v>0.18687697761282801</v>
      </c>
      <c r="R9" s="85">
        <f>'Data Sheet'!E62/'Data Sheet'!E$66</f>
        <v>0.25913943355119828</v>
      </c>
      <c r="S9" s="85">
        <f>'Data Sheet'!F62/'Data Sheet'!F$66</f>
        <v>0.23723153909832481</v>
      </c>
      <c r="T9" s="85">
        <f>'Data Sheet'!G62/'Data Sheet'!G$66</f>
        <v>0.22102476676746996</v>
      </c>
      <c r="U9" s="85">
        <f>'Data Sheet'!H62/'Data Sheet'!H$66</f>
        <v>0.23455809175254422</v>
      </c>
      <c r="V9" s="85">
        <f>'Data Sheet'!I62/'Data Sheet'!I$66</f>
        <v>0.20307307748860462</v>
      </c>
      <c r="W9" s="85">
        <f>'Data Sheet'!J62/'Data Sheet'!J$66</f>
        <v>0.20948611252072127</v>
      </c>
      <c r="X9" s="246">
        <f>'Data Sheet'!K62/'Data Sheet'!K$66</f>
        <v>0.21887638701648865</v>
      </c>
    </row>
    <row r="10" spans="2:24" x14ac:dyDescent="0.45">
      <c r="B10" s="245" t="str">
        <f>'Data Sheet'!A24</f>
        <v>Other Expenses</v>
      </c>
      <c r="C10" s="85">
        <f>'Data Sheet'!B24/'Data Sheet'!B$17</f>
        <v>1.0031540213772561E-2</v>
      </c>
      <c r="D10" s="85">
        <f>'Data Sheet'!C24/'Data Sheet'!C$17</f>
        <v>1.0209579989223221E-2</v>
      </c>
      <c r="E10" s="85">
        <f>'Data Sheet'!D24/'Data Sheet'!D$17</f>
        <v>1.8215905654671908E-2</v>
      </c>
      <c r="F10" s="85">
        <f>'Data Sheet'!E24/'Data Sheet'!E$17</f>
        <v>1.0342434822834862E-2</v>
      </c>
      <c r="G10" s="85">
        <f>'Data Sheet'!F24/'Data Sheet'!F$17</f>
        <v>8.9477665419221281E-3</v>
      </c>
      <c r="H10" s="85">
        <f>'Data Sheet'!G24/'Data Sheet'!G$17</f>
        <v>8.4346560781315503E-3</v>
      </c>
      <c r="I10" s="85">
        <f>'Data Sheet'!H24/'Data Sheet'!H$17</f>
        <v>9.9272997335913393E-3</v>
      </c>
      <c r="J10" s="85">
        <f>'Data Sheet'!I24/'Data Sheet'!I$17</f>
        <v>9.8262510574607925E-3</v>
      </c>
      <c r="K10" s="85">
        <f>'Data Sheet'!J24/'Data Sheet'!J$17</f>
        <v>6.9329406712068222E-3</v>
      </c>
      <c r="L10" s="246">
        <f>'Data Sheet'!K24/'Data Sheet'!K$17</f>
        <v>7.4391267842149455E-3</v>
      </c>
      <c r="N10" s="251" t="str">
        <f>'Data Sheet'!A63</f>
        <v>Capital Work in Progress</v>
      </c>
      <c r="O10" s="85">
        <f>'Data Sheet'!B63/'Data Sheet'!B$66</f>
        <v>1.6416510318949345E-2</v>
      </c>
      <c r="P10" s="85">
        <f>'Data Sheet'!C63/'Data Sheet'!C$66</f>
        <v>2.0239700563334132E-2</v>
      </c>
      <c r="Q10" s="85">
        <f>'Data Sheet'!D63/'Data Sheet'!D$66</f>
        <v>1.6510836723526753E-2</v>
      </c>
      <c r="R10" s="85">
        <f>'Data Sheet'!E63/'Data Sheet'!E$66</f>
        <v>1.0392156862745097E-2</v>
      </c>
      <c r="S10" s="85">
        <f>'Data Sheet'!F63/'Data Sheet'!F$66</f>
        <v>8.575866655505018E-3</v>
      </c>
      <c r="T10" s="85">
        <f>'Data Sheet'!G63/'Data Sheet'!G$66</f>
        <v>3.5638101928398254E-3</v>
      </c>
      <c r="U10" s="85">
        <f>'Data Sheet'!H63/'Data Sheet'!H$66</f>
        <v>2.3114706732158337E-3</v>
      </c>
      <c r="V10" s="85">
        <f>'Data Sheet'!I63/'Data Sheet'!I$66</f>
        <v>2.1540949860314662E-3</v>
      </c>
      <c r="W10" s="85">
        <f>'Data Sheet'!J63/'Data Sheet'!J$66</f>
        <v>5.5076288101762573E-3</v>
      </c>
      <c r="X10" s="246">
        <f>'Data Sheet'!K63/'Data Sheet'!K$66</f>
        <v>3.4092087524629265E-3</v>
      </c>
    </row>
    <row r="11" spans="2:24" x14ac:dyDescent="0.45">
      <c r="B11" s="245" t="str">
        <f>'Data Sheet'!A25</f>
        <v>Other Income</v>
      </c>
      <c r="C11" s="85">
        <f>'Data Sheet'!B25/'Data Sheet'!B$17</f>
        <v>4.4535950002920391E-2</v>
      </c>
      <c r="D11" s="85">
        <f>'Data Sheet'!C25/'Data Sheet'!C$17</f>
        <v>4.6949887978219564E-2</v>
      </c>
      <c r="E11" s="85">
        <f>'Data Sheet'!D25/'Data Sheet'!D$17</f>
        <v>3.4859389174478381E-2</v>
      </c>
      <c r="F11" s="85">
        <f>'Data Sheet'!E25/'Data Sheet'!E$17</f>
        <v>3.0873104162306837E-2</v>
      </c>
      <c r="G11" s="85">
        <f>'Data Sheet'!F25/'Data Sheet'!F$17</f>
        <v>2.1906600844016244E-2</v>
      </c>
      <c r="H11" s="85">
        <f>'Data Sheet'!G25/'Data Sheet'!G$17</f>
        <v>1.886699385897847E-2</v>
      </c>
      <c r="I11" s="85">
        <f>'Data Sheet'!H25/'Data Sheet'!H$17</f>
        <v>1.8403319547309682E-2</v>
      </c>
      <c r="J11" s="85">
        <f>'Data Sheet'!I25/'Data Sheet'!I$17</f>
        <v>3.0656601809071388E-2</v>
      </c>
      <c r="K11" s="85">
        <f>'Data Sheet'!J25/'Data Sheet'!J$17</f>
        <v>2.2087244616234125E-2</v>
      </c>
      <c r="L11" s="246">
        <f>'Data Sheet'!K25/'Data Sheet'!K$17</f>
        <v>1.6977329974811082E-2</v>
      </c>
      <c r="N11" s="251" t="str">
        <f>'Data Sheet'!A64</f>
        <v>Investments</v>
      </c>
      <c r="O11" s="85">
        <f>'Data Sheet'!B64/'Data Sheet'!B$66</f>
        <v>0.19751527396930774</v>
      </c>
      <c r="P11" s="85">
        <f>'Data Sheet'!C64/'Data Sheet'!C$66</f>
        <v>0.15328485551172669</v>
      </c>
      <c r="Q11" s="85">
        <f>'Data Sheet'!D64/'Data Sheet'!D$66</f>
        <v>0.13395427402279161</v>
      </c>
      <c r="R11" s="85">
        <f>'Data Sheet'!E64/'Data Sheet'!E$66</f>
        <v>9.5773420479302832E-2</v>
      </c>
      <c r="S11" s="85">
        <f>'Data Sheet'!F64/'Data Sheet'!F$66</f>
        <v>0.13212601501241733</v>
      </c>
      <c r="T11" s="85">
        <f>'Data Sheet'!G64/'Data Sheet'!G$66</f>
        <v>0.17411268836364571</v>
      </c>
      <c r="U11" s="85">
        <f>'Data Sheet'!H64/'Data Sheet'!H$66</f>
        <v>0.15632925615589585</v>
      </c>
      <c r="V11" s="85">
        <f>'Data Sheet'!I64/'Data Sheet'!I$66</f>
        <v>0.18102484928686957</v>
      </c>
      <c r="W11" s="85">
        <f>'Data Sheet'!J64/'Data Sheet'!J$66</f>
        <v>0.15928143712574849</v>
      </c>
      <c r="X11" s="246">
        <f>'Data Sheet'!K64/'Data Sheet'!K$66</f>
        <v>0.1418127138857202</v>
      </c>
    </row>
    <row r="12" spans="2:24" x14ac:dyDescent="0.45">
      <c r="B12" s="245" t="str">
        <f>'Data Sheet'!A26</f>
        <v>Depreciation</v>
      </c>
      <c r="C12" s="85">
        <f>'Data Sheet'!B26/'Data Sheet'!B$17</f>
        <v>2.4867122247532271E-2</v>
      </c>
      <c r="D12" s="85">
        <f>'Data Sheet'!C26/'Data Sheet'!C$17</f>
        <v>2.6417288222115084E-2</v>
      </c>
      <c r="E12" s="85">
        <f>'Data Sheet'!D26/'Data Sheet'!D$17</f>
        <v>2.4324160870879952E-2</v>
      </c>
      <c r="F12" s="85">
        <f>'Data Sheet'!E26/'Data Sheet'!E$17</f>
        <v>3.1864391845006661E-2</v>
      </c>
      <c r="G12" s="85">
        <f>'Data Sheet'!F26/'Data Sheet'!F$17</f>
        <v>3.2516522016084085E-2</v>
      </c>
      <c r="H12" s="85">
        <f>'Data Sheet'!G26/'Data Sheet'!G$17</f>
        <v>2.8575891352422292E-2</v>
      </c>
      <c r="I12" s="85">
        <f>'Data Sheet'!H26/'Data Sheet'!H$17</f>
        <v>2.8787125171189708E-2</v>
      </c>
      <c r="J12" s="85">
        <f>'Data Sheet'!I26/'Data Sheet'!I$17</f>
        <v>3.0441855925034164E-2</v>
      </c>
      <c r="K12" s="85">
        <f>'Data Sheet'!J26/'Data Sheet'!J$17</f>
        <v>2.9523283637032948E-2</v>
      </c>
      <c r="L12" s="246">
        <f>'Data Sheet'!K26/'Data Sheet'!K$17</f>
        <v>2.7439126784214944E-2</v>
      </c>
      <c r="N12" s="251" t="str">
        <f>'Data Sheet'!A74</f>
        <v>Other Assets</v>
      </c>
      <c r="O12" s="85">
        <f>'Data Sheet'!B74/'Data Sheet'!B$66</f>
        <v>0.1952422186943763</v>
      </c>
      <c r="P12" s="85">
        <f>'Data Sheet'!C74/'Data Sheet'!C$66</f>
        <v>0.25263078299663511</v>
      </c>
      <c r="Q12" s="85">
        <f>'Data Sheet'!D74/'Data Sheet'!D$66</f>
        <v>0.25351509528227822</v>
      </c>
      <c r="R12" s="85">
        <f>'Data Sheet'!E74/'Data Sheet'!E$66</f>
        <v>0.23016339869281047</v>
      </c>
      <c r="S12" s="85">
        <f>'Data Sheet'!F74/'Data Sheet'!F$66</f>
        <v>0.21273172047511418</v>
      </c>
      <c r="T12" s="85">
        <f>'Data Sheet'!G74/'Data Sheet'!G$66</f>
        <v>0.25716831292994885</v>
      </c>
      <c r="U12" s="85">
        <f>'Data Sheet'!H74/'Data Sheet'!H$66</f>
        <v>0.30504992134578957</v>
      </c>
      <c r="V12" s="85">
        <f>'Data Sheet'!I74/'Data Sheet'!I$66</f>
        <v>0.28306866637259226</v>
      </c>
      <c r="W12" s="85">
        <f>'Data Sheet'!J74/'Data Sheet'!J$66</f>
        <v>0.24944010284515714</v>
      </c>
      <c r="X12" s="246">
        <f>'Data Sheet'!K74/'Data Sheet'!K$66</f>
        <v>0.26364331639531269</v>
      </c>
    </row>
    <row r="13" spans="2:24" x14ac:dyDescent="0.45">
      <c r="B13" s="245" t="str">
        <f>'Data Sheet'!A27</f>
        <v>Interest</v>
      </c>
      <c r="C13" s="85">
        <f>'Data Sheet'!B27/'Data Sheet'!B$17</f>
        <v>0</v>
      </c>
      <c r="D13" s="85">
        <f>'Data Sheet'!C27/'Data Sheet'!C$17</f>
        <v>0</v>
      </c>
      <c r="E13" s="85">
        <f>'Data Sheet'!D27/'Data Sheet'!D$17</f>
        <v>0</v>
      </c>
      <c r="F13" s="85">
        <f>'Data Sheet'!E27/'Data Sheet'!E$17</f>
        <v>1.8724322895441179E-3</v>
      </c>
      <c r="G13" s="85">
        <f>'Data Sheet'!F27/'Data Sheet'!F$17</f>
        <v>1.9408392387928975E-3</v>
      </c>
      <c r="H13" s="85">
        <f>'Data Sheet'!G27/'Data Sheet'!G$17</f>
        <v>1.6441824713706726E-3</v>
      </c>
      <c r="I13" s="85">
        <f>'Data Sheet'!H27/'Data Sheet'!H$17</f>
        <v>1.9350398931639945E-3</v>
      </c>
      <c r="J13" s="85">
        <f>'Data Sheet'!I27/'Data Sheet'!I$17</f>
        <v>3.0585019847725646E-3</v>
      </c>
      <c r="K13" s="85">
        <f>'Data Sheet'!J27/'Data Sheet'!J$17</f>
        <v>2.5523038223203877E-3</v>
      </c>
      <c r="L13" s="246">
        <f>'Data Sheet'!K27/'Data Sheet'!K$17</f>
        <v>2.3285754268122026E-3</v>
      </c>
      <c r="N13" s="251" t="str">
        <f>'Data Sheet'!A67</f>
        <v>Receivables</v>
      </c>
      <c r="O13" s="85">
        <f>'Data Sheet'!B67/'Data Sheet'!B$66</f>
        <v>0.14819358252754125</v>
      </c>
      <c r="P13" s="85">
        <f>'Data Sheet'!C67/'Data Sheet'!C$66</f>
        <v>0.16562275517019748</v>
      </c>
      <c r="Q13" s="85">
        <f>'Data Sheet'!D67/'Data Sheet'!D$66</f>
        <v>0.1763733257202674</v>
      </c>
      <c r="R13" s="85">
        <f>'Data Sheet'!E67/'Data Sheet'!E$66</f>
        <v>0.20138344226579522</v>
      </c>
      <c r="S13" s="85">
        <f>'Data Sheet'!F67/'Data Sheet'!F$66</f>
        <v>0.17946070634632735</v>
      </c>
      <c r="T13" s="85">
        <f>'Data Sheet'!G67/'Data Sheet'!G$66</f>
        <v>0.19445039364682298</v>
      </c>
      <c r="U13" s="85">
        <f>'Data Sheet'!H67/'Data Sheet'!H$66</f>
        <v>0.20405149442999776</v>
      </c>
      <c r="V13" s="85">
        <f>'Data Sheet'!I67/'Data Sheet'!I$66</f>
        <v>0.22197470960152918</v>
      </c>
      <c r="W13" s="85">
        <f>'Data Sheet'!J67/'Data Sheet'!J$66</f>
        <v>0.21081903988632902</v>
      </c>
      <c r="X13" s="246">
        <f>'Data Sheet'!K67/'Data Sheet'!K$66</f>
        <v>0.22836513533132843</v>
      </c>
    </row>
    <row r="14" spans="2:24" x14ac:dyDescent="0.45">
      <c r="B14" s="245" t="str">
        <f>'Data Sheet'!A28</f>
        <v>Profit before tax</v>
      </c>
      <c r="C14" s="85">
        <f>'Data Sheet'!B28/'Data Sheet'!B$17</f>
        <v>0.29132352082238189</v>
      </c>
      <c r="D14" s="85">
        <f>'Data Sheet'!C28/'Data Sheet'!C$17</f>
        <v>0.28742803664104816</v>
      </c>
      <c r="E14" s="85">
        <f>'Data Sheet'!D28/'Data Sheet'!D$17</f>
        <v>0.25450257030541273</v>
      </c>
      <c r="F14" s="85">
        <f>'Data Sheet'!E28/'Data Sheet'!E$17</f>
        <v>0.24239186703527882</v>
      </c>
      <c r="G14" s="85">
        <f>'Data Sheet'!F28/'Data Sheet'!F$17</f>
        <v>0.26502906282347322</v>
      </c>
      <c r="H14" s="85">
        <f>'Data Sheet'!G28/'Data Sheet'!G$17</f>
        <v>0.24753167106485477</v>
      </c>
      <c r="I14" s="85">
        <f>'Data Sheet'!H28/'Data Sheet'!H$17</f>
        <v>0.22704013845074164</v>
      </c>
      <c r="J14" s="85">
        <f>'Data Sheet'!I28/'Data Sheet'!I$17</f>
        <v>0.2341901477191384</v>
      </c>
      <c r="K14" s="85">
        <f>'Data Sheet'!J28/'Data Sheet'!J$17</f>
        <v>0.23073808209092583</v>
      </c>
      <c r="L14" s="246">
        <f>'Data Sheet'!K28/'Data Sheet'!K$17</f>
        <v>0.22387349566190876</v>
      </c>
      <c r="N14" s="251" t="str">
        <f>'Data Sheet'!A68</f>
        <v>Inventory</v>
      </c>
      <c r="O14" s="85">
        <f>'Data Sheet'!B68/'Data Sheet'!B$66</f>
        <v>0</v>
      </c>
      <c r="P14" s="85">
        <f>'Data Sheet'!C68/'Data Sheet'!C$66</f>
        <v>0</v>
      </c>
      <c r="Q14" s="85">
        <f>'Data Sheet'!D68/'Data Sheet'!D$66</f>
        <v>0</v>
      </c>
      <c r="R14" s="85">
        <f>'Data Sheet'!E68/'Data Sheet'!E$66</f>
        <v>0</v>
      </c>
      <c r="S14" s="85">
        <f>'Data Sheet'!F68/'Data Sheet'!F$66</f>
        <v>0</v>
      </c>
      <c r="T14" s="85">
        <f>'Data Sheet'!G68/'Data Sheet'!G$66</f>
        <v>0</v>
      </c>
      <c r="U14" s="85">
        <f>'Data Sheet'!H68/'Data Sheet'!H$66</f>
        <v>0</v>
      </c>
      <c r="V14" s="85">
        <f>'Data Sheet'!I68/'Data Sheet'!I$66</f>
        <v>0</v>
      </c>
      <c r="W14" s="85">
        <f>'Data Sheet'!J68/'Data Sheet'!J$66</f>
        <v>0</v>
      </c>
      <c r="X14" s="246">
        <f>'Data Sheet'!K68/'Data Sheet'!K$66</f>
        <v>0</v>
      </c>
    </row>
    <row r="15" spans="2:24" ht="14.65" thickBot="1" x14ac:dyDescent="0.5">
      <c r="B15" s="245" t="str">
        <f>'Data Sheet'!A29</f>
        <v>Tax</v>
      </c>
      <c r="C15" s="85">
        <f>'Data Sheet'!B29/'Data Sheet'!B$17</f>
        <v>8.1741720693884704E-2</v>
      </c>
      <c r="D15" s="85">
        <f>'Data Sheet'!C29/'Data Sheet'!C$17</f>
        <v>6.0137262130966221E-2</v>
      </c>
      <c r="E15" s="85">
        <f>'Data Sheet'!D29/'Data Sheet'!D$17</f>
        <v>6.8110069549440586E-2</v>
      </c>
      <c r="F15" s="85">
        <f>'Data Sheet'!E29/'Data Sheet'!E$17</f>
        <v>5.9124803119251911E-2</v>
      </c>
      <c r="G15" s="85">
        <f>'Data Sheet'!F29/'Data Sheet'!F$17</f>
        <v>7.1711521617963209E-2</v>
      </c>
      <c r="H15" s="85">
        <f>'Data Sheet'!G29/'Data Sheet'!G$17</f>
        <v>6.5471346009980183E-2</v>
      </c>
      <c r="I15" s="85">
        <f>'Data Sheet'!H29/'Data Sheet'!H$17</f>
        <v>6.2779780195820589E-2</v>
      </c>
      <c r="J15" s="85">
        <f>'Data Sheet'!I29/'Data Sheet'!I$17</f>
        <v>6.3382573046137827E-2</v>
      </c>
      <c r="K15" s="85">
        <f>'Data Sheet'!J29/'Data Sheet'!J$17</f>
        <v>6.6617583900852817E-2</v>
      </c>
      <c r="L15" s="246">
        <f>'Data Sheet'!K29/'Data Sheet'!K$17</f>
        <v>5.8891687657430733E-2</v>
      </c>
      <c r="N15" s="251" t="str">
        <f>'Data Sheet'!A69</f>
        <v>Cash &amp; Bank</v>
      </c>
      <c r="O15" s="85">
        <f>'Data Sheet'!B69/'Data Sheet'!B$66</f>
        <v>0.27210516188002115</v>
      </c>
      <c r="P15" s="85">
        <f>'Data Sheet'!C69/'Data Sheet'!C$66</f>
        <v>0.24975740084941209</v>
      </c>
      <c r="Q15" s="85">
        <f>'Data Sheet'!D69/'Data Sheet'!D$66</f>
        <v>0.23276949063830799</v>
      </c>
      <c r="R15" s="85">
        <f>'Data Sheet'!E69/'Data Sheet'!E$66</f>
        <v>0.20314814814814816</v>
      </c>
      <c r="S15" s="85">
        <f>'Data Sheet'!F69/'Data Sheet'!F$66</f>
        <v>0.22987415241231129</v>
      </c>
      <c r="T15" s="85">
        <f>'Data Sheet'!G69/'Data Sheet'!G$66</f>
        <v>0.14968002809927267</v>
      </c>
      <c r="U15" s="85">
        <f>'Data Sheet'!H69/'Data Sheet'!H$66</f>
        <v>9.7699765642556738E-2</v>
      </c>
      <c r="V15" s="85">
        <f>'Data Sheet'!I69/'Data Sheet'!I$66</f>
        <v>0.10870460226437288</v>
      </c>
      <c r="W15" s="85">
        <f>'Data Sheet'!J69/'Data Sheet'!J$66</f>
        <v>0.1654656788118678</v>
      </c>
      <c r="X15" s="246">
        <f>'Data Sheet'!K69/'Data Sheet'!K$66</f>
        <v>0.14389323861868714</v>
      </c>
    </row>
    <row r="16" spans="2:24" ht="14.65" thickBot="1" x14ac:dyDescent="0.5">
      <c r="B16" s="245" t="str">
        <f>'Data Sheet'!A30</f>
        <v>Net profit</v>
      </c>
      <c r="C16" s="85">
        <f>'Data Sheet'!B30/'Data Sheet'!B$17</f>
        <v>0.20958180012849717</v>
      </c>
      <c r="D16" s="85">
        <f>'Data Sheet'!C30/'Data Sheet'!C$17</f>
        <v>0.22729077451008195</v>
      </c>
      <c r="E16" s="85">
        <f>'Data Sheet'!D30/'Data Sheet'!D$17</f>
        <v>0.1863199274266707</v>
      </c>
      <c r="F16" s="85">
        <f>'Data Sheet'!E30/'Data Sheet'!E$17</f>
        <v>0.182771420074677</v>
      </c>
      <c r="G16" s="85">
        <f>'Data Sheet'!F30/'Data Sheet'!F$17</f>
        <v>0.19260092364041723</v>
      </c>
      <c r="H16" s="85">
        <f>'Data Sheet'!G30/'Data Sheet'!G$17</f>
        <v>0.18176437221002786</v>
      </c>
      <c r="I16" s="85">
        <f>'Data Sheet'!H30/'Data Sheet'!H$17</f>
        <v>0.16417178248516356</v>
      </c>
      <c r="J16" s="85">
        <f>'Data Sheet'!I30/'Data Sheet'!I$17</f>
        <v>0.17070996290752913</v>
      </c>
      <c r="K16" s="85">
        <f>'Data Sheet'!J30/'Data Sheet'!J$17</f>
        <v>0.16389349039818393</v>
      </c>
      <c r="L16" s="246">
        <f>'Data Sheet'!K30/'Data Sheet'!K$17</f>
        <v>0.16479149174363281</v>
      </c>
      <c r="N16" s="253" t="str">
        <f>'Data Sheet'!A66&amp;" Assets"</f>
        <v>Total Assets</v>
      </c>
      <c r="O16" s="254">
        <f>'Data Sheet'!B66/'Data Sheet'!B$66</f>
        <v>1</v>
      </c>
      <c r="P16" s="254">
        <f>'Data Sheet'!C66/'Data Sheet'!C$66</f>
        <v>1</v>
      </c>
      <c r="Q16" s="254">
        <f>'Data Sheet'!D66/'Data Sheet'!D$66</f>
        <v>1</v>
      </c>
      <c r="R16" s="254">
        <f>'Data Sheet'!E66/'Data Sheet'!E$66</f>
        <v>1</v>
      </c>
      <c r="S16" s="254">
        <f>'Data Sheet'!F66/'Data Sheet'!F$66</f>
        <v>1</v>
      </c>
      <c r="T16" s="254">
        <f>'Data Sheet'!G66/'Data Sheet'!G$66</f>
        <v>1</v>
      </c>
      <c r="U16" s="254">
        <f>'Data Sheet'!H66/'Data Sheet'!H$66</f>
        <v>1</v>
      </c>
      <c r="V16" s="254">
        <f>'Data Sheet'!I66/'Data Sheet'!I$66</f>
        <v>1</v>
      </c>
      <c r="W16" s="254">
        <f>'Data Sheet'!J66/'Data Sheet'!J$66</f>
        <v>1</v>
      </c>
      <c r="X16" s="255">
        <f>'Data Sheet'!K66/'Data Sheet'!K$66</f>
        <v>1</v>
      </c>
    </row>
    <row r="17" spans="2:12" x14ac:dyDescent="0.45">
      <c r="B17" s="245" t="str">
        <f>'Data Sheet'!A31</f>
        <v>Dividend Amount</v>
      </c>
      <c r="C17" s="85">
        <f>'Data Sheet'!B31/'Data Sheet'!B$17</f>
        <v>8.6028853454821572E-2</v>
      </c>
      <c r="D17" s="85">
        <f>'Data Sheet'!C31/'Data Sheet'!C$17</f>
        <v>0.13422194492498796</v>
      </c>
      <c r="E17" s="85">
        <f>'Data Sheet'!D31/'Data Sheet'!D$17</f>
        <v>0.11155125491381918</v>
      </c>
      <c r="F17" s="85">
        <f>'Data Sheet'!E31/'Data Sheet'!E$17</f>
        <v>8.1803262437906837E-2</v>
      </c>
      <c r="G17" s="85">
        <f>'Data Sheet'!F31/'Data Sheet'!F$17</f>
        <v>0.11415717811927702</v>
      </c>
      <c r="H17" s="85">
        <f>'Data Sheet'!G31/'Data Sheet'!G$17</f>
        <v>0.10693433957300581</v>
      </c>
      <c r="I17" s="85">
        <f>'Data Sheet'!H31/'Data Sheet'!H$17</f>
        <v>9.5860786144024213E-2</v>
      </c>
      <c r="J17" s="85">
        <f>'Data Sheet'!I31/'Data Sheet'!I$17</f>
        <v>0.12398776599206092</v>
      </c>
      <c r="K17" s="85">
        <f>'Data Sheet'!J31/'Data Sheet'!J$17</f>
        <v>0.10937971654702743</v>
      </c>
      <c r="L17" s="246">
        <f>'Data Sheet'!K31/'Data Sheet'!K$17</f>
        <v>0.10876238455079766</v>
      </c>
    </row>
    <row r="18" spans="2:12" x14ac:dyDescent="0.45">
      <c r="B18" s="245" t="str">
        <f>'Data Sheet'!A32</f>
        <v>EBITDA</v>
      </c>
      <c r="C18" s="85">
        <f>'Data Sheet'!B32/'Data Sheet'!B$17</f>
        <v>0.27165469306699375</v>
      </c>
      <c r="D18" s="85">
        <f>'Data Sheet'!C32/'Data Sheet'!C$17</f>
        <v>0.26689543688494372</v>
      </c>
      <c r="E18" s="85">
        <f>'Data Sheet'!D32/'Data Sheet'!D$17</f>
        <v>0.24396734200181433</v>
      </c>
      <c r="F18" s="85">
        <f>'Data Sheet'!E32/'Data Sheet'!E$17</f>
        <v>0.24525558700752279</v>
      </c>
      <c r="G18" s="85">
        <f>'Data Sheet'!F32/'Data Sheet'!F$17</f>
        <v>0.27757982323433394</v>
      </c>
      <c r="H18" s="85">
        <f>'Data Sheet'!G32/'Data Sheet'!G$17</f>
        <v>0.25888475102966929</v>
      </c>
      <c r="I18" s="85">
        <f>'Data Sheet'!H32/'Data Sheet'!H$17</f>
        <v>0.23935898396778568</v>
      </c>
      <c r="J18" s="85">
        <f>'Data Sheet'!I32/'Data Sheet'!I$17</f>
        <v>0.23703390381987374</v>
      </c>
      <c r="K18" s="85">
        <f>'Data Sheet'!J32/'Data Sheet'!J$17</f>
        <v>0.24072642493404503</v>
      </c>
      <c r="L18" s="246">
        <f>'Data Sheet'!K32/'Data Sheet'!K$17</f>
        <v>0.23666386789812482</v>
      </c>
    </row>
    <row r="19" spans="2:12" ht="14.65" thickBot="1" x14ac:dyDescent="0.5">
      <c r="B19" s="247" t="str">
        <f>'Data Sheet'!A33</f>
        <v>EBIT</v>
      </c>
      <c r="C19" s="248">
        <f>'Data Sheet'!B33/'Data Sheet'!B$17</f>
        <v>0.24678757081946148</v>
      </c>
      <c r="D19" s="248">
        <f>'Data Sheet'!C33/'Data Sheet'!C$17</f>
        <v>0.24047814866282863</v>
      </c>
      <c r="E19" s="248">
        <f>'Data Sheet'!D33/'Data Sheet'!D$17</f>
        <v>0.2196431811309344</v>
      </c>
      <c r="F19" s="248">
        <f>'Data Sheet'!E33/'Data Sheet'!E$17</f>
        <v>0.21339119516251612</v>
      </c>
      <c r="G19" s="248">
        <f>'Data Sheet'!F33/'Data Sheet'!F$17</f>
        <v>0.24506330121824987</v>
      </c>
      <c r="H19" s="248">
        <f>'Data Sheet'!G33/'Data Sheet'!G$17</f>
        <v>0.23030885967724699</v>
      </c>
      <c r="I19" s="248">
        <f>'Data Sheet'!H33/'Data Sheet'!H$17</f>
        <v>0.21057185879659596</v>
      </c>
      <c r="J19" s="248">
        <f>'Data Sheet'!I33/'Data Sheet'!I$17</f>
        <v>0.20659204789483959</v>
      </c>
      <c r="K19" s="248">
        <f>'Data Sheet'!J33/'Data Sheet'!J$17</f>
        <v>0.21120314129701209</v>
      </c>
      <c r="L19" s="249">
        <f>'Data Sheet'!K33/'Data Sheet'!K$17</f>
        <v>0.20922474111390987</v>
      </c>
    </row>
  </sheetData>
  <mergeCells count="2">
    <mergeCell ref="B1:L1"/>
    <mergeCell ref="N1:X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CDA-AF5D-4973-8046-2D6E1F54D95C}">
  <dimension ref="B1:M37"/>
  <sheetViews>
    <sheetView showGridLines="0" topLeftCell="A6" workbookViewId="0">
      <selection activeCell="O34" sqref="O34"/>
    </sheetView>
  </sheetViews>
  <sheetFormatPr defaultRowHeight="14.25" x14ac:dyDescent="0.45"/>
  <cols>
    <col min="1" max="1" width="1.796875" customWidth="1"/>
    <col min="2" max="2" width="30.3984375" style="47" bestFit="1" customWidth="1"/>
  </cols>
  <sheetData>
    <row r="1" spans="2:13" x14ac:dyDescent="0.45">
      <c r="B1" s="44"/>
      <c r="C1" s="9"/>
      <c r="D1" s="9"/>
      <c r="E1" s="9"/>
      <c r="F1" s="9"/>
      <c r="G1" s="9"/>
      <c r="H1" s="9"/>
      <c r="I1" s="9"/>
      <c r="J1" s="9"/>
      <c r="K1" s="9"/>
      <c r="L1" s="9"/>
    </row>
    <row r="2" spans="2:13" x14ac:dyDescent="0.45">
      <c r="B2" s="44"/>
      <c r="C2" s="10">
        <v>42795</v>
      </c>
      <c r="D2" s="10">
        <v>43160</v>
      </c>
      <c r="E2" s="10">
        <v>43525</v>
      </c>
      <c r="F2" s="10">
        <v>43891</v>
      </c>
      <c r="G2" s="10">
        <v>44256</v>
      </c>
      <c r="H2" s="10">
        <v>44621</v>
      </c>
      <c r="I2" s="10">
        <v>44986</v>
      </c>
      <c r="J2" s="10">
        <v>45352</v>
      </c>
      <c r="K2" s="10">
        <v>45717</v>
      </c>
      <c r="L2" s="10">
        <v>46082</v>
      </c>
      <c r="M2" s="8"/>
    </row>
    <row r="3" spans="2:13" x14ac:dyDescent="0.45">
      <c r="B3" s="45" t="s">
        <v>73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3" x14ac:dyDescent="0.45">
      <c r="B4" s="46" t="s">
        <v>54</v>
      </c>
      <c r="C4" s="41">
        <v>19340</v>
      </c>
      <c r="D4" s="41">
        <v>19963</v>
      </c>
      <c r="E4" s="41">
        <v>22126</v>
      </c>
      <c r="F4" s="41">
        <v>23920</v>
      </c>
      <c r="G4" s="41">
        <v>28845</v>
      </c>
      <c r="H4" s="41">
        <v>32921</v>
      </c>
      <c r="I4" s="41">
        <v>37605</v>
      </c>
      <c r="J4" s="41">
        <v>39523</v>
      </c>
      <c r="K4" s="41">
        <v>41591</v>
      </c>
      <c r="L4" s="41">
        <v>45273</v>
      </c>
    </row>
    <row r="5" spans="2:13" x14ac:dyDescent="0.45">
      <c r="B5" s="46" t="s">
        <v>42</v>
      </c>
      <c r="C5" s="41">
        <v>-1743</v>
      </c>
      <c r="D5" s="41">
        <v>-1523</v>
      </c>
      <c r="E5" s="41">
        <v>-2881</v>
      </c>
      <c r="F5" s="41">
        <v>-3861</v>
      </c>
      <c r="G5" s="41">
        <v>-1835</v>
      </c>
      <c r="H5" s="41">
        <v>-7937</v>
      </c>
      <c r="I5" s="41">
        <v>-7076</v>
      </c>
      <c r="J5" s="41">
        <v>-2667</v>
      </c>
      <c r="K5" s="41">
        <v>-1769</v>
      </c>
      <c r="L5" s="41">
        <v>-5177</v>
      </c>
    </row>
    <row r="6" spans="2:13" x14ac:dyDescent="0.45">
      <c r="B6" s="46" t="s">
        <v>55</v>
      </c>
      <c r="C6" s="41">
        <v>-19</v>
      </c>
      <c r="D6" s="41">
        <v>328</v>
      </c>
      <c r="E6" s="41">
        <v>916</v>
      </c>
      <c r="F6" s="41">
        <v>-373</v>
      </c>
      <c r="G6" s="41">
        <v>-245</v>
      </c>
      <c r="H6" s="41">
        <v>1489</v>
      </c>
      <c r="I6" s="41">
        <v>-279</v>
      </c>
      <c r="J6" s="41">
        <v>91</v>
      </c>
      <c r="K6" s="41">
        <v>176</v>
      </c>
      <c r="L6" s="41">
        <v>-26</v>
      </c>
    </row>
    <row r="7" spans="2:13" x14ac:dyDescent="0.45">
      <c r="B7" s="46" t="s">
        <v>56</v>
      </c>
      <c r="C7" s="41">
        <v>0</v>
      </c>
      <c r="D7" s="41">
        <v>0</v>
      </c>
      <c r="E7" s="41">
        <v>0</v>
      </c>
      <c r="F7" s="41">
        <v>0</v>
      </c>
      <c r="G7" s="41">
        <v>-534</v>
      </c>
      <c r="H7" s="41">
        <v>-1914</v>
      </c>
      <c r="I7" s="41">
        <v>-3108</v>
      </c>
      <c r="J7" s="41">
        <v>-1172</v>
      </c>
      <c r="K7" s="41">
        <v>-1024</v>
      </c>
      <c r="L7" s="41">
        <v>-2645</v>
      </c>
    </row>
    <row r="8" spans="2:13" x14ac:dyDescent="0.45">
      <c r="B8" s="46" t="s">
        <v>57</v>
      </c>
      <c r="C8" s="41">
        <v>-394</v>
      </c>
      <c r="D8" s="41">
        <v>1279</v>
      </c>
      <c r="E8" s="41">
        <v>1512</v>
      </c>
      <c r="F8" s="41">
        <v>1867</v>
      </c>
      <c r="G8" s="41">
        <v>3382</v>
      </c>
      <c r="H8" s="41">
        <v>6938</v>
      </c>
      <c r="I8" s="41">
        <v>4119</v>
      </c>
      <c r="J8" s="41">
        <v>-1334</v>
      </c>
      <c r="K8" s="41">
        <v>2322</v>
      </c>
      <c r="L8" s="41">
        <v>5209</v>
      </c>
    </row>
    <row r="9" spans="2:13" x14ac:dyDescent="0.45">
      <c r="B9" s="46" t="s">
        <v>58</v>
      </c>
      <c r="C9" s="41">
        <f>SUM(C5:C8)</f>
        <v>-2156</v>
      </c>
      <c r="D9" s="41">
        <f t="shared" ref="D9:L9" si="0">SUM(D5:D8)</f>
        <v>84</v>
      </c>
      <c r="E9" s="41">
        <f t="shared" si="0"/>
        <v>-453</v>
      </c>
      <c r="F9" s="41">
        <f t="shared" si="0"/>
        <v>-2367</v>
      </c>
      <c r="G9" s="41">
        <f t="shared" si="0"/>
        <v>768</v>
      </c>
      <c r="H9" s="41">
        <f t="shared" si="0"/>
        <v>-1424</v>
      </c>
      <c r="I9" s="41">
        <f t="shared" si="0"/>
        <v>-6344</v>
      </c>
      <c r="J9" s="41">
        <f t="shared" si="0"/>
        <v>-5082</v>
      </c>
      <c r="K9" s="41">
        <f t="shared" si="0"/>
        <v>-295</v>
      </c>
      <c r="L9" s="41">
        <f t="shared" si="0"/>
        <v>-2639</v>
      </c>
    </row>
    <row r="10" spans="2:13" x14ac:dyDescent="0.45">
      <c r="B10" s="46" t="s">
        <v>59</v>
      </c>
      <c r="C10" s="41">
        <v>-5653</v>
      </c>
      <c r="D10" s="41">
        <v>-6829</v>
      </c>
      <c r="E10" s="41">
        <v>-6832</v>
      </c>
      <c r="F10" s="41">
        <v>-4550</v>
      </c>
      <c r="G10" s="41">
        <v>-6389</v>
      </c>
      <c r="H10" s="41">
        <v>-7612</v>
      </c>
      <c r="I10" s="41">
        <v>-8794</v>
      </c>
      <c r="J10" s="41">
        <v>-9231</v>
      </c>
      <c r="K10" s="41">
        <v>-5602</v>
      </c>
      <c r="L10" s="41">
        <v>-8648</v>
      </c>
    </row>
    <row r="11" spans="2:13" x14ac:dyDescent="0.45">
      <c r="B11" s="45" t="s">
        <v>107</v>
      </c>
      <c r="C11" s="40">
        <f>SUM(C10,C9,C4,)</f>
        <v>11531</v>
      </c>
      <c r="D11" s="40">
        <f t="shared" ref="D11:L11" si="1">SUM(D10,D9,D4,)</f>
        <v>13218</v>
      </c>
      <c r="E11" s="40">
        <f t="shared" si="1"/>
        <v>14841</v>
      </c>
      <c r="F11" s="40">
        <f t="shared" si="1"/>
        <v>17003</v>
      </c>
      <c r="G11" s="40">
        <f t="shared" si="1"/>
        <v>23224</v>
      </c>
      <c r="H11" s="40">
        <f t="shared" si="1"/>
        <v>23885</v>
      </c>
      <c r="I11" s="40">
        <f t="shared" si="1"/>
        <v>22467</v>
      </c>
      <c r="J11" s="40">
        <f t="shared" si="1"/>
        <v>25210</v>
      </c>
      <c r="K11" s="40">
        <f t="shared" si="1"/>
        <v>35694</v>
      </c>
      <c r="L11" s="40">
        <f t="shared" si="1"/>
        <v>33986</v>
      </c>
    </row>
    <row r="12" spans="2:13" x14ac:dyDescent="0.45">
      <c r="B12" s="46"/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spans="2:13" x14ac:dyDescent="0.45">
      <c r="B13" s="45" t="s">
        <v>74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spans="2:13" x14ac:dyDescent="0.45">
      <c r="B14" s="46" t="s">
        <v>60</v>
      </c>
      <c r="C14" s="41">
        <v>-2760</v>
      </c>
      <c r="D14" s="41">
        <v>-1998</v>
      </c>
      <c r="E14" s="41">
        <v>-2445</v>
      </c>
      <c r="F14" s="41">
        <v>-3307</v>
      </c>
      <c r="G14" s="41">
        <v>-2107</v>
      </c>
      <c r="H14" s="41">
        <v>-2161</v>
      </c>
      <c r="I14" s="41">
        <v>-2579</v>
      </c>
      <c r="J14" s="41">
        <v>-2201</v>
      </c>
      <c r="K14" s="41">
        <v>-2237</v>
      </c>
      <c r="L14" s="41">
        <v>-2727</v>
      </c>
    </row>
    <row r="15" spans="2:13" x14ac:dyDescent="0.45">
      <c r="B15" s="46" t="s">
        <v>61</v>
      </c>
      <c r="C15" s="41">
        <v>-66410</v>
      </c>
      <c r="D15" s="41">
        <v>-69159</v>
      </c>
      <c r="E15" s="41">
        <v>-79410</v>
      </c>
      <c r="F15" s="41">
        <v>-37482</v>
      </c>
      <c r="G15" s="41">
        <v>-46738</v>
      </c>
      <c r="H15" s="41">
        <v>-59951</v>
      </c>
      <c r="I15" s="41">
        <v>-75800</v>
      </c>
      <c r="J15" s="41">
        <v>-78092</v>
      </c>
      <c r="K15" s="41">
        <v>-82742</v>
      </c>
      <c r="L15" s="41">
        <v>-82617</v>
      </c>
    </row>
    <row r="16" spans="2:13" x14ac:dyDescent="0.45">
      <c r="B16" s="46" t="s">
        <v>62</v>
      </c>
      <c r="C16" s="41">
        <v>52048</v>
      </c>
      <c r="D16" s="41">
        <v>74003</v>
      </c>
      <c r="E16" s="41">
        <v>78098</v>
      </c>
      <c r="F16" s="41">
        <v>38861</v>
      </c>
      <c r="G16" s="41">
        <v>40381</v>
      </c>
      <c r="H16" s="41">
        <v>57356</v>
      </c>
      <c r="I16" s="41">
        <v>76722</v>
      </c>
      <c r="J16" s="41">
        <v>72930</v>
      </c>
      <c r="K16" s="41">
        <v>84877</v>
      </c>
      <c r="L16" s="41">
        <v>89699</v>
      </c>
    </row>
    <row r="17" spans="2:12" x14ac:dyDescent="0.45">
      <c r="B17" s="46" t="s">
        <v>63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</row>
    <row r="18" spans="2:12" x14ac:dyDescent="0.45">
      <c r="B18" s="46" t="s">
        <v>64</v>
      </c>
      <c r="C18" s="41">
        <v>2753</v>
      </c>
      <c r="D18" s="41">
        <v>1768</v>
      </c>
      <c r="E18" s="41">
        <v>1557</v>
      </c>
      <c r="F18" s="41">
        <v>1929</v>
      </c>
      <c r="G18" s="41">
        <v>1418</v>
      </c>
      <c r="H18" s="41">
        <v>1898</v>
      </c>
      <c r="I18" s="41">
        <v>1525</v>
      </c>
      <c r="J18" s="41">
        <v>1768</v>
      </c>
      <c r="K18" s="41">
        <v>2040</v>
      </c>
      <c r="L18" s="41">
        <v>2713</v>
      </c>
    </row>
    <row r="19" spans="2:12" x14ac:dyDescent="0.45">
      <c r="B19" s="46" t="s">
        <v>65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</row>
    <row r="20" spans="2:12" x14ac:dyDescent="0.45">
      <c r="B20" s="46" t="s">
        <v>66</v>
      </c>
      <c r="C20" s="41">
        <v>-164</v>
      </c>
      <c r="D20" s="41">
        <v>-130</v>
      </c>
      <c r="E20" s="41">
        <v>-24</v>
      </c>
      <c r="F20" s="41">
        <v>-108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</row>
    <row r="21" spans="2:12" x14ac:dyDescent="0.45">
      <c r="B21" s="46" t="s">
        <v>67</v>
      </c>
      <c r="C21" s="41">
        <v>-131</v>
      </c>
      <c r="D21" s="41">
        <v>49</v>
      </c>
      <c r="E21" s="41">
        <v>1592</v>
      </c>
      <c r="F21" s="41">
        <v>-224</v>
      </c>
      <c r="G21" s="41">
        <v>-327</v>
      </c>
      <c r="H21" s="41">
        <v>-3627</v>
      </c>
      <c r="I21" s="41">
        <v>-939</v>
      </c>
      <c r="J21" s="41">
        <v>502</v>
      </c>
      <c r="K21" s="41">
        <v>-3802</v>
      </c>
      <c r="L21" s="41">
        <v>-3522</v>
      </c>
    </row>
    <row r="22" spans="2:12" x14ac:dyDescent="0.45">
      <c r="B22" s="45" t="s">
        <v>108</v>
      </c>
      <c r="C22" s="40">
        <f>SUM(C14:C21)</f>
        <v>-14664</v>
      </c>
      <c r="D22" s="40">
        <f t="shared" ref="D22:L22" si="2">SUM(D14:D21)</f>
        <v>4533</v>
      </c>
      <c r="E22" s="40">
        <f t="shared" si="2"/>
        <v>-632</v>
      </c>
      <c r="F22" s="40">
        <f t="shared" si="2"/>
        <v>-331</v>
      </c>
      <c r="G22" s="40">
        <f t="shared" si="2"/>
        <v>-7373</v>
      </c>
      <c r="H22" s="40">
        <f t="shared" si="2"/>
        <v>-6485</v>
      </c>
      <c r="I22" s="40">
        <f t="shared" si="2"/>
        <v>-1071</v>
      </c>
      <c r="J22" s="40">
        <f t="shared" si="2"/>
        <v>-5093</v>
      </c>
      <c r="K22" s="40">
        <f t="shared" si="2"/>
        <v>-1864</v>
      </c>
      <c r="L22" s="40">
        <f t="shared" si="2"/>
        <v>3546</v>
      </c>
    </row>
    <row r="23" spans="2:12" x14ac:dyDescent="0.45">
      <c r="B23" s="46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2:12" x14ac:dyDescent="0.45">
      <c r="B24" s="46" t="s">
        <v>75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2:12" x14ac:dyDescent="0.45">
      <c r="B25" s="46" t="s">
        <v>68</v>
      </c>
      <c r="C25" s="41">
        <v>0</v>
      </c>
      <c r="D25" s="41">
        <v>5</v>
      </c>
      <c r="E25" s="41">
        <v>6</v>
      </c>
      <c r="F25" s="41">
        <v>6</v>
      </c>
      <c r="G25" s="41">
        <v>15</v>
      </c>
      <c r="H25" s="41">
        <v>21</v>
      </c>
      <c r="I25" s="41">
        <v>35</v>
      </c>
      <c r="J25" s="41">
        <v>5</v>
      </c>
      <c r="K25" s="41">
        <v>6</v>
      </c>
      <c r="L25" s="41">
        <v>2</v>
      </c>
    </row>
    <row r="26" spans="2:12" x14ac:dyDescent="0.45">
      <c r="B26" s="46" t="s">
        <v>69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-985</v>
      </c>
      <c r="L26" s="41">
        <v>0</v>
      </c>
    </row>
    <row r="27" spans="2:12" x14ac:dyDescent="0.45">
      <c r="B27" s="46" t="s">
        <v>70</v>
      </c>
      <c r="C27" s="41">
        <v>-6939</v>
      </c>
      <c r="D27" s="41">
        <v>-7464</v>
      </c>
      <c r="E27" s="41">
        <v>-13705</v>
      </c>
      <c r="F27" s="41">
        <v>-9548</v>
      </c>
      <c r="G27" s="41">
        <v>-9137</v>
      </c>
      <c r="H27" s="41">
        <v>-12731</v>
      </c>
      <c r="I27" s="41">
        <v>-13653</v>
      </c>
      <c r="J27" s="41">
        <v>-14731</v>
      </c>
      <c r="K27" s="41">
        <v>-20289</v>
      </c>
      <c r="L27" s="41">
        <v>-18656</v>
      </c>
    </row>
    <row r="28" spans="2:12" x14ac:dyDescent="0.45">
      <c r="B28" s="46" t="s">
        <v>71</v>
      </c>
      <c r="C28" s="41">
        <v>0</v>
      </c>
      <c r="D28" s="41">
        <v>0</v>
      </c>
      <c r="E28" s="41">
        <v>0</v>
      </c>
      <c r="F28" s="41">
        <v>-571</v>
      </c>
      <c r="G28" s="41">
        <v>-698</v>
      </c>
      <c r="H28" s="41">
        <v>-915</v>
      </c>
      <c r="I28" s="41">
        <v>-1231</v>
      </c>
      <c r="J28" s="41">
        <v>-2024</v>
      </c>
      <c r="K28" s="41">
        <v>-2355</v>
      </c>
      <c r="L28" s="41">
        <v>-2824</v>
      </c>
    </row>
    <row r="29" spans="2:12" x14ac:dyDescent="0.45">
      <c r="B29" s="46" t="s">
        <v>72</v>
      </c>
      <c r="C29" s="41">
        <v>0</v>
      </c>
      <c r="D29" s="41">
        <v>-13046</v>
      </c>
      <c r="E29" s="41">
        <v>-813</v>
      </c>
      <c r="F29" s="41">
        <v>-7478</v>
      </c>
      <c r="G29" s="41">
        <v>34</v>
      </c>
      <c r="H29" s="41">
        <v>-11017</v>
      </c>
      <c r="I29" s="41">
        <v>-11846</v>
      </c>
      <c r="J29" s="41">
        <v>-754</v>
      </c>
      <c r="K29" s="41">
        <v>-538</v>
      </c>
      <c r="L29" s="41">
        <v>-18308</v>
      </c>
    </row>
    <row r="30" spans="2:12" x14ac:dyDescent="0.45">
      <c r="B30" s="45" t="s">
        <v>109</v>
      </c>
      <c r="C30" s="40">
        <f>SUM(C25:C29)</f>
        <v>-6939</v>
      </c>
      <c r="D30" s="40">
        <f t="shared" ref="D30:L30" si="3">SUM(D25:D29)</f>
        <v>-20505</v>
      </c>
      <c r="E30" s="40">
        <f t="shared" si="3"/>
        <v>-14512</v>
      </c>
      <c r="F30" s="40">
        <f t="shared" si="3"/>
        <v>-17591</v>
      </c>
      <c r="G30" s="40">
        <f t="shared" si="3"/>
        <v>-9786</v>
      </c>
      <c r="H30" s="40">
        <f t="shared" si="3"/>
        <v>-24642</v>
      </c>
      <c r="I30" s="40">
        <f t="shared" si="3"/>
        <v>-26695</v>
      </c>
      <c r="J30" s="40">
        <f t="shared" si="3"/>
        <v>-17504</v>
      </c>
      <c r="K30" s="40">
        <f t="shared" si="3"/>
        <v>-24161</v>
      </c>
      <c r="L30" s="40">
        <f t="shared" si="3"/>
        <v>-39786</v>
      </c>
    </row>
    <row r="31" spans="2:12" x14ac:dyDescent="0.45">
      <c r="B31" s="46"/>
      <c r="C31" s="38"/>
      <c r="D31" s="38"/>
      <c r="E31" s="38"/>
      <c r="F31" s="38"/>
      <c r="G31" s="38"/>
      <c r="H31" s="38"/>
      <c r="I31" s="38"/>
      <c r="J31" s="38"/>
      <c r="K31" s="38"/>
      <c r="L31" s="38"/>
    </row>
    <row r="32" spans="2:12" x14ac:dyDescent="0.45">
      <c r="B32" s="45" t="s">
        <v>20</v>
      </c>
      <c r="C32" s="40">
        <v>-10072</v>
      </c>
      <c r="D32" s="40">
        <v>-2754</v>
      </c>
      <c r="E32" s="40">
        <v>-303</v>
      </c>
      <c r="F32" s="40">
        <v>-919</v>
      </c>
      <c r="G32" s="40">
        <v>6065</v>
      </c>
      <c r="H32" s="40">
        <v>-7242</v>
      </c>
      <c r="I32" s="40">
        <v>-5299</v>
      </c>
      <c r="J32" s="40">
        <v>2613</v>
      </c>
      <c r="K32" s="40">
        <v>9669</v>
      </c>
      <c r="L32" s="40">
        <v>-2254</v>
      </c>
    </row>
    <row r="36" spans="2:12" x14ac:dyDescent="0.45">
      <c r="B36" s="39" t="s">
        <v>76</v>
      </c>
      <c r="C36" s="42">
        <v>367</v>
      </c>
      <c r="D36" s="42">
        <v>694</v>
      </c>
      <c r="E36" s="43">
        <v>1655</v>
      </c>
      <c r="F36" s="43">
        <v>2852</v>
      </c>
      <c r="G36" s="43">
        <v>2645</v>
      </c>
      <c r="H36" s="43">
        <v>4134</v>
      </c>
      <c r="I36" s="43">
        <v>3865</v>
      </c>
      <c r="J36" s="43">
        <v>3956</v>
      </c>
      <c r="K36" s="43">
        <v>4164</v>
      </c>
      <c r="L36" s="43">
        <v>4744</v>
      </c>
    </row>
    <row r="37" spans="2:12" x14ac:dyDescent="0.45">
      <c r="B37" s="39" t="s">
        <v>77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</row>
  </sheetData>
  <pageMargins left="0.7" right="0.7" top="0.75" bottom="0.75" header="0.3" footer="0.3"/>
  <ignoredErrors>
    <ignoredError sqref="C9:L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Sheet</vt:lpstr>
      <vt:lpstr>Historical Financial Statement</vt:lpstr>
      <vt:lpstr>Ratios Analysis</vt:lpstr>
      <vt:lpstr>DuPont Model</vt:lpstr>
      <vt:lpstr>BETA Calculation</vt:lpstr>
      <vt:lpstr>Calculation</vt:lpstr>
      <vt:lpstr>DCF Model</vt:lpstr>
      <vt:lpstr>COMP Analysis</vt:lpstr>
      <vt:lpstr>Common Size Statement</vt:lpstr>
      <vt:lpstr>Manual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Arpit</cp:lastModifiedBy>
  <cp:lastPrinted>2012-12-06T18:14:13Z</cp:lastPrinted>
  <dcterms:created xsi:type="dcterms:W3CDTF">2012-08-17T09:55:37Z</dcterms:created>
  <dcterms:modified xsi:type="dcterms:W3CDTF">2026-10-26T13:33:44Z</dcterms:modified>
</cp:coreProperties>
</file>